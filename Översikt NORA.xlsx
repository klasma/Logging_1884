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45877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45877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45877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45877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45877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45877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45877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45877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45877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45877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45877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45877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45877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45877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45877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45877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45877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45877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2137-2020</t>
        </is>
      </c>
      <c r="B20" s="1" t="n">
        <v>43839</v>
      </c>
      <c r="C20" s="1" t="n">
        <v>45877</v>
      </c>
      <c r="D20" t="inlineStr">
        <is>
          <t>ÖREBRO LÄN</t>
        </is>
      </c>
      <c r="E20" t="inlineStr">
        <is>
          <t>NORA</t>
        </is>
      </c>
      <c r="F20" t="inlineStr">
        <is>
          <t>Övriga Aktiebolag</t>
        </is>
      </c>
      <c r="G20" t="n">
        <v>10.5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HYPERLINK("https://klasma.github.io/Logging_1884/artfynd/A 2137-2020 artfynd.xlsx", "A 2137-2020")</f>
        <v/>
      </c>
      <c r="T20">
        <f>HYPERLINK("https://klasma.github.io/Logging_1884/kartor/A 2137-2020 karta.png", "A 2137-2020")</f>
        <v/>
      </c>
      <c r="V20">
        <f>HYPERLINK("https://klasma.github.io/Logging_1884/klagomål/A 2137-2020 FSC-klagomål.docx", "A 2137-2020")</f>
        <v/>
      </c>
      <c r="W20">
        <f>HYPERLINK("https://klasma.github.io/Logging_1884/klagomålsmail/A 2137-2020 FSC-klagomål mail.docx", "A 2137-2020")</f>
        <v/>
      </c>
      <c r="X20">
        <f>HYPERLINK("https://klasma.github.io/Logging_1884/tillsyn/A 2137-2020 tillsynsbegäran.docx", "A 2137-2020")</f>
        <v/>
      </c>
      <c r="Y20">
        <f>HYPERLINK("https://klasma.github.io/Logging_1884/tillsynsmail/A 2137-2020 tillsynsbegäran mail.docx", "A 2137-2020")</f>
        <v/>
      </c>
      <c r="Z20">
        <f>HYPERLINK("https://klasma.github.io/Logging_1884/fåglar/A 2137-2020 prioriterade fågelarter.docx", "A 2137-2020")</f>
        <v/>
      </c>
    </row>
    <row r="21" ht="15" customHeight="1">
      <c r="A21" t="inlineStr">
        <is>
          <t>A 24567-2021</t>
        </is>
      </c>
      <c r="B21" s="1" t="n">
        <v>44339</v>
      </c>
      <c r="C21" s="1" t="n">
        <v>45877</v>
      </c>
      <c r="D21" t="inlineStr">
        <is>
          <t>ÖREBRO LÄN</t>
        </is>
      </c>
      <c r="E21" t="inlineStr">
        <is>
          <t>NORA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Thomsons trägnagare</t>
        </is>
      </c>
      <c r="S21">
        <f>HYPERLINK("https://klasma.github.io/Logging_1884/artfynd/A 24567-2021 artfynd.xlsx", "A 24567-2021")</f>
        <v/>
      </c>
      <c r="T21">
        <f>HYPERLINK("https://klasma.github.io/Logging_1884/kartor/A 24567-2021 karta.png", "A 24567-2021")</f>
        <v/>
      </c>
      <c r="V21">
        <f>HYPERLINK("https://klasma.github.io/Logging_1884/klagomål/A 24567-2021 FSC-klagomål.docx", "A 24567-2021")</f>
        <v/>
      </c>
      <c r="W21">
        <f>HYPERLINK("https://klasma.github.io/Logging_1884/klagomålsmail/A 24567-2021 FSC-klagomål mail.docx", "A 24567-2021")</f>
        <v/>
      </c>
      <c r="X21">
        <f>HYPERLINK("https://klasma.github.io/Logging_1884/tillsyn/A 24567-2021 tillsynsbegäran.docx", "A 24567-2021")</f>
        <v/>
      </c>
      <c r="Y21">
        <f>HYPERLINK("https://klasma.github.io/Logging_1884/tillsynsmail/A 24567-2021 tillsynsbegäran mail.docx", "A 24567-2021")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45877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45877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22442-2023</t>
        </is>
      </c>
      <c r="B24" s="1" t="n">
        <v>45070</v>
      </c>
      <c r="C24" s="1" t="n">
        <v>45877</v>
      </c>
      <c r="D24" t="inlineStr">
        <is>
          <t>ÖREBRO LÄN</t>
        </is>
      </c>
      <c r="E24" t="inlineStr">
        <is>
          <t>NORA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22442-2023 artfynd.xlsx", "A 22442-2023")</f>
        <v/>
      </c>
      <c r="T24">
        <f>HYPERLINK("https://klasma.github.io/Logging_1884/kartor/A 22442-2023 karta.png", "A 22442-2023")</f>
        <v/>
      </c>
      <c r="V24">
        <f>HYPERLINK("https://klasma.github.io/Logging_1884/klagomål/A 22442-2023 FSC-klagomål.docx", "A 22442-2023")</f>
        <v/>
      </c>
      <c r="W24">
        <f>HYPERLINK("https://klasma.github.io/Logging_1884/klagomålsmail/A 22442-2023 FSC-klagomål mail.docx", "A 22442-2023")</f>
        <v/>
      </c>
      <c r="X24">
        <f>HYPERLINK("https://klasma.github.io/Logging_1884/tillsyn/A 22442-2023 tillsynsbegäran.docx", "A 22442-2023")</f>
        <v/>
      </c>
      <c r="Y24">
        <f>HYPERLINK("https://klasma.github.io/Logging_1884/tillsynsmail/A 22442-2023 tillsynsbegäran mail.docx", "A 22442-2023")</f>
        <v/>
      </c>
    </row>
    <row r="25" ht="15" customHeight="1">
      <c r="A25" t="inlineStr">
        <is>
          <t>A 22447-2023</t>
        </is>
      </c>
      <c r="B25" s="1" t="n">
        <v>45070</v>
      </c>
      <c r="C25" s="1" t="n">
        <v>45877</v>
      </c>
      <c r="D25" t="inlineStr">
        <is>
          <t>ÖREBRO LÄN</t>
        </is>
      </c>
      <c r="E25" t="inlineStr">
        <is>
          <t>NORA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HYPERLINK("https://klasma.github.io/Logging_1884/artfynd/A 22447-2023 artfynd.xlsx", "A 22447-2023")</f>
        <v/>
      </c>
      <c r="T25">
        <f>HYPERLINK("https://klasma.github.io/Logging_1884/kartor/A 22447-2023 karta.png", "A 22447-2023")</f>
        <v/>
      </c>
      <c r="V25">
        <f>HYPERLINK("https://klasma.github.io/Logging_1884/klagomål/A 22447-2023 FSC-klagomål.docx", "A 22447-2023")</f>
        <v/>
      </c>
      <c r="W25">
        <f>HYPERLINK("https://klasma.github.io/Logging_1884/klagomålsmail/A 22447-2023 FSC-klagomål mail.docx", "A 22447-2023")</f>
        <v/>
      </c>
      <c r="X25">
        <f>HYPERLINK("https://klasma.github.io/Logging_1884/tillsyn/A 22447-2023 tillsynsbegäran.docx", "A 22447-2023")</f>
        <v/>
      </c>
      <c r="Y25">
        <f>HYPERLINK("https://klasma.github.io/Logging_1884/tillsynsmail/A 22447-2023 tillsynsbegäran mail.docx", "A 22447-2023")</f>
        <v/>
      </c>
    </row>
    <row r="26" ht="15" customHeight="1">
      <c r="A26" t="inlineStr">
        <is>
          <t>A 23874-2023</t>
        </is>
      </c>
      <c r="B26" s="1" t="n">
        <v>45078</v>
      </c>
      <c r="C26" s="1" t="n">
        <v>45877</v>
      </c>
      <c r="D26" t="inlineStr">
        <is>
          <t>ÖREBRO LÄN</t>
        </is>
      </c>
      <c r="E26" t="inlineStr">
        <is>
          <t>NORA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HYPERLINK("https://klasma.github.io/Logging_1884/artfynd/A 23874-2023 artfynd.xlsx", "A 23874-2023")</f>
        <v/>
      </c>
      <c r="T26">
        <f>HYPERLINK("https://klasma.github.io/Logging_1884/kartor/A 23874-2023 karta.png", "A 23874-2023")</f>
        <v/>
      </c>
      <c r="V26">
        <f>HYPERLINK("https://klasma.github.io/Logging_1884/klagomål/A 23874-2023 FSC-klagomål.docx", "A 23874-2023")</f>
        <v/>
      </c>
      <c r="W26">
        <f>HYPERLINK("https://klasma.github.io/Logging_1884/klagomålsmail/A 23874-2023 FSC-klagomål mail.docx", "A 23874-2023")</f>
        <v/>
      </c>
      <c r="X26">
        <f>HYPERLINK("https://klasma.github.io/Logging_1884/tillsyn/A 23874-2023 tillsynsbegäran.docx", "A 23874-2023")</f>
        <v/>
      </c>
      <c r="Y26">
        <f>HYPERLINK("https://klasma.github.io/Logging_1884/tillsynsmail/A 23874-2023 tillsynsbegäran mail.docx", "A 23874-2023")</f>
        <v/>
      </c>
    </row>
    <row r="27" ht="15" customHeight="1">
      <c r="A27" t="inlineStr">
        <is>
          <t>A 24355-2023</t>
        </is>
      </c>
      <c r="B27" s="1" t="n">
        <v>45082</v>
      </c>
      <c r="C27" s="1" t="n">
        <v>45877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24355-2023 artfynd.xlsx", "A 24355-2023")</f>
        <v/>
      </c>
      <c r="T27">
        <f>HYPERLINK("https://klasma.github.io/Logging_1884/kartor/A 24355-2023 karta.png", "A 24355-2023")</f>
        <v/>
      </c>
      <c r="U27">
        <f>HYPERLINK("https://klasma.github.io/Logging_1884/knärot/A 24355-2023 karta knärot.png", "A 24355-2023")</f>
        <v/>
      </c>
      <c r="V27">
        <f>HYPERLINK("https://klasma.github.io/Logging_1884/klagomål/A 24355-2023 FSC-klagomål.docx", "A 24355-2023")</f>
        <v/>
      </c>
      <c r="W27">
        <f>HYPERLINK("https://klasma.github.io/Logging_1884/klagomålsmail/A 24355-2023 FSC-klagomål mail.docx", "A 24355-2023")</f>
        <v/>
      </c>
      <c r="X27">
        <f>HYPERLINK("https://klasma.github.io/Logging_1884/tillsyn/A 24355-2023 tillsynsbegäran.docx", "A 24355-2023")</f>
        <v/>
      </c>
      <c r="Y27">
        <f>HYPERLINK("https://klasma.github.io/Logging_1884/tillsynsmail/A 24355-2023 tillsynsbegäran mail.docx", "A 24355-2023")</f>
        <v/>
      </c>
    </row>
    <row r="28" ht="15" customHeight="1">
      <c r="A28" t="inlineStr">
        <is>
          <t>A 24356-2023</t>
        </is>
      </c>
      <c r="B28" s="1" t="n">
        <v>45082</v>
      </c>
      <c r="C28" s="1" t="n">
        <v>45877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15.3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HYPERLINK("https://klasma.github.io/Logging_1884/artfynd/A 24356-2023 artfynd.xlsx", "A 24356-2023")</f>
        <v/>
      </c>
      <c r="T28">
        <f>HYPERLINK("https://klasma.github.io/Logging_1884/kartor/A 24356-2023 karta.png", "A 24356-2023")</f>
        <v/>
      </c>
      <c r="U28">
        <f>HYPERLINK("https://klasma.github.io/Logging_1884/knärot/A 24356-2023 karta knärot.png", "A 24356-2023")</f>
        <v/>
      </c>
      <c r="V28">
        <f>HYPERLINK("https://klasma.github.io/Logging_1884/klagomål/A 24356-2023 FSC-klagomål.docx", "A 24356-2023")</f>
        <v/>
      </c>
      <c r="W28">
        <f>HYPERLINK("https://klasma.github.io/Logging_1884/klagomålsmail/A 24356-2023 FSC-klagomål mail.docx", "A 24356-2023")</f>
        <v/>
      </c>
      <c r="X28">
        <f>HYPERLINK("https://klasma.github.io/Logging_1884/tillsyn/A 24356-2023 tillsynsbegäran.docx", "A 24356-2023")</f>
        <v/>
      </c>
      <c r="Y28">
        <f>HYPERLINK("https://klasma.github.io/Logging_1884/tillsynsmail/A 24356-2023 tillsynsbegäran mail.docx", "A 24356-2023")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45877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52112-2023</t>
        </is>
      </c>
      <c r="B30" s="1" t="n">
        <v>45223</v>
      </c>
      <c r="C30" s="1" t="n">
        <v>45877</v>
      </c>
      <c r="D30" t="inlineStr">
        <is>
          <t>ÖREBRO LÄN</t>
        </is>
      </c>
      <c r="E30" t="inlineStr">
        <is>
          <t>NORA</t>
        </is>
      </c>
      <c r="G30" t="n">
        <v>3.7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Korthornad vedstekel</t>
        </is>
      </c>
      <c r="S30">
        <f>HYPERLINK("https://klasma.github.io/Logging_1884/artfynd/A 52112-2023 artfynd.xlsx", "A 52112-2023")</f>
        <v/>
      </c>
      <c r="T30">
        <f>HYPERLINK("https://klasma.github.io/Logging_1884/kartor/A 52112-2023 karta.png", "A 52112-2023")</f>
        <v/>
      </c>
      <c r="V30">
        <f>HYPERLINK("https://klasma.github.io/Logging_1884/klagomål/A 52112-2023 FSC-klagomål.docx", "A 52112-2023")</f>
        <v/>
      </c>
      <c r="W30">
        <f>HYPERLINK("https://klasma.github.io/Logging_1884/klagomålsmail/A 52112-2023 FSC-klagomål mail.docx", "A 52112-2023")</f>
        <v/>
      </c>
      <c r="X30">
        <f>HYPERLINK("https://klasma.github.io/Logging_1884/tillsyn/A 52112-2023 tillsynsbegäran.docx", "A 52112-2023")</f>
        <v/>
      </c>
      <c r="Y30">
        <f>HYPERLINK("https://klasma.github.io/Logging_1884/tillsynsmail/A 52112-2023 tillsynsbegäran mail.docx", "A 52112-2023")</f>
        <v/>
      </c>
    </row>
    <row r="31" ht="15" customHeight="1">
      <c r="A31" t="inlineStr">
        <is>
          <t>A 53940-2023</t>
        </is>
      </c>
      <c r="B31" s="1" t="n">
        <v>45231</v>
      </c>
      <c r="C31" s="1" t="n">
        <v>45877</v>
      </c>
      <c r="D31" t="inlineStr">
        <is>
          <t>ÖREBRO LÄN</t>
        </is>
      </c>
      <c r="E31" t="inlineStr">
        <is>
          <t>NORA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Fältgentiana</t>
        </is>
      </c>
      <c r="S31">
        <f>HYPERLINK("https://klasma.github.io/Logging_1884/artfynd/A 53940-2023 artfynd.xlsx", "A 53940-2023")</f>
        <v/>
      </c>
      <c r="T31">
        <f>HYPERLINK("https://klasma.github.io/Logging_1884/kartor/A 53940-2023 karta.png", "A 53940-2023")</f>
        <v/>
      </c>
      <c r="V31">
        <f>HYPERLINK("https://klasma.github.io/Logging_1884/klagomål/A 53940-2023 FSC-klagomål.docx", "A 53940-2023")</f>
        <v/>
      </c>
      <c r="W31">
        <f>HYPERLINK("https://klasma.github.io/Logging_1884/klagomålsmail/A 53940-2023 FSC-klagomål mail.docx", "A 53940-2023")</f>
        <v/>
      </c>
      <c r="X31">
        <f>HYPERLINK("https://klasma.github.io/Logging_1884/tillsyn/A 53940-2023 tillsynsbegäran.docx", "A 53940-2023")</f>
        <v/>
      </c>
      <c r="Y31">
        <f>HYPERLINK("https://klasma.github.io/Logging_1884/tillsynsmail/A 53940-2023 tillsynsbegäran mail.docx", "A 53940-2023")</f>
        <v/>
      </c>
    </row>
    <row r="32" ht="15" customHeight="1">
      <c r="A32" t="inlineStr">
        <is>
          <t>A 15327-2024</t>
        </is>
      </c>
      <c r="B32" s="1" t="n">
        <v>45400</v>
      </c>
      <c r="C32" s="1" t="n">
        <v>45877</v>
      </c>
      <c r="D32" t="inlineStr">
        <is>
          <t>ÖREBRO LÄN</t>
        </is>
      </c>
      <c r="E32" t="inlineStr">
        <is>
          <t>NORA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HYPERLINK("https://klasma.github.io/Logging_1884/artfynd/A 15327-2024 artfynd.xlsx", "A 15327-2024")</f>
        <v/>
      </c>
      <c r="T32">
        <f>HYPERLINK("https://klasma.github.io/Logging_1884/kartor/A 15327-2024 karta.png", "A 15327-2024")</f>
        <v/>
      </c>
      <c r="V32">
        <f>HYPERLINK("https://klasma.github.io/Logging_1884/klagomål/A 15327-2024 FSC-klagomål.docx", "A 15327-2024")</f>
        <v/>
      </c>
      <c r="W32">
        <f>HYPERLINK("https://klasma.github.io/Logging_1884/klagomålsmail/A 15327-2024 FSC-klagomål mail.docx", "A 15327-2024")</f>
        <v/>
      </c>
      <c r="X32">
        <f>HYPERLINK("https://klasma.github.io/Logging_1884/tillsyn/A 15327-2024 tillsynsbegäran.docx", "A 15327-2024")</f>
        <v/>
      </c>
      <c r="Y32">
        <f>HYPERLINK("https://klasma.github.io/Logging_1884/tillsynsmail/A 15327-2024 tillsynsbegäran mail.docx", "A 15327-2024")</f>
        <v/>
      </c>
    </row>
    <row r="33" ht="15" customHeight="1">
      <c r="A33" t="inlineStr">
        <is>
          <t>A 16539-2024</t>
        </is>
      </c>
      <c r="B33" s="1" t="n">
        <v>45408</v>
      </c>
      <c r="C33" s="1" t="n">
        <v>45877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16539-2024 artfynd.xlsx", "A 16539-2024")</f>
        <v/>
      </c>
      <c r="T33">
        <f>HYPERLINK("https://klasma.github.io/Logging_1884/kartor/A 16539-2024 karta.png", "A 16539-2024")</f>
        <v/>
      </c>
      <c r="V33">
        <f>HYPERLINK("https://klasma.github.io/Logging_1884/klagomål/A 16539-2024 FSC-klagomål.docx", "A 16539-2024")</f>
        <v/>
      </c>
      <c r="W33">
        <f>HYPERLINK("https://klasma.github.io/Logging_1884/klagomålsmail/A 16539-2024 FSC-klagomål mail.docx", "A 16539-2024")</f>
        <v/>
      </c>
      <c r="X33">
        <f>HYPERLINK("https://klasma.github.io/Logging_1884/tillsyn/A 16539-2024 tillsynsbegäran.docx", "A 16539-2024")</f>
        <v/>
      </c>
      <c r="Y33">
        <f>HYPERLINK("https://klasma.github.io/Logging_1884/tillsynsmail/A 16539-2024 tillsynsbegäran mail.docx", "A 16539-2024")</f>
        <v/>
      </c>
    </row>
    <row r="34" ht="15" customHeight="1">
      <c r="A34" t="inlineStr">
        <is>
          <t>A 16554-2024</t>
        </is>
      </c>
      <c r="B34" s="1" t="n">
        <v>45408</v>
      </c>
      <c r="C34" s="1" t="n">
        <v>45877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16554-2024 artfynd.xlsx", "A 16554-2024")</f>
        <v/>
      </c>
      <c r="T34">
        <f>HYPERLINK("https://klasma.github.io/Logging_1884/kartor/A 16554-2024 karta.png", "A 16554-2024")</f>
        <v/>
      </c>
      <c r="V34">
        <f>HYPERLINK("https://klasma.github.io/Logging_1884/klagomål/A 16554-2024 FSC-klagomål.docx", "A 16554-2024")</f>
        <v/>
      </c>
      <c r="W34">
        <f>HYPERLINK("https://klasma.github.io/Logging_1884/klagomålsmail/A 16554-2024 FSC-klagomål mail.docx", "A 16554-2024")</f>
        <v/>
      </c>
      <c r="X34">
        <f>HYPERLINK("https://klasma.github.io/Logging_1884/tillsyn/A 16554-2024 tillsynsbegäran.docx", "A 16554-2024")</f>
        <v/>
      </c>
      <c r="Y34">
        <f>HYPERLINK("https://klasma.github.io/Logging_1884/tillsynsmail/A 16554-2024 tillsynsbegäran mail.docx", "A 16554-2024")</f>
        <v/>
      </c>
    </row>
    <row r="35" ht="15" customHeight="1">
      <c r="A35" t="inlineStr">
        <is>
          <t>A 16642-2024</t>
        </is>
      </c>
      <c r="B35" s="1" t="n">
        <v>45408</v>
      </c>
      <c r="C35" s="1" t="n">
        <v>45877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HYPERLINK("https://klasma.github.io/Logging_1884/artfynd/A 16642-2024 artfynd.xlsx", "A 16642-2024")</f>
        <v/>
      </c>
      <c r="T35">
        <f>HYPERLINK("https://klasma.github.io/Logging_1884/kartor/A 16642-2024 karta.png", "A 16642-2024")</f>
        <v/>
      </c>
      <c r="V35">
        <f>HYPERLINK("https://klasma.github.io/Logging_1884/klagomål/A 16642-2024 FSC-klagomål.docx", "A 16642-2024")</f>
        <v/>
      </c>
      <c r="W35">
        <f>HYPERLINK("https://klasma.github.io/Logging_1884/klagomålsmail/A 16642-2024 FSC-klagomål mail.docx", "A 16642-2024")</f>
        <v/>
      </c>
      <c r="X35">
        <f>HYPERLINK("https://klasma.github.io/Logging_1884/tillsyn/A 16642-2024 tillsynsbegäran.docx", "A 16642-2024")</f>
        <v/>
      </c>
      <c r="Y35">
        <f>HYPERLINK("https://klasma.github.io/Logging_1884/tillsynsmail/A 16642-2024 tillsynsbegäran mail.docx", "A 16642-2024")</f>
        <v/>
      </c>
    </row>
    <row r="36" ht="15" customHeight="1">
      <c r="A36" t="inlineStr">
        <is>
          <t>A 20654-2024</t>
        </is>
      </c>
      <c r="B36" s="1" t="n">
        <v>45436</v>
      </c>
      <c r="C36" s="1" t="n">
        <v>45877</v>
      </c>
      <c r="D36" t="inlineStr">
        <is>
          <t>ÖREBRO LÄN</t>
        </is>
      </c>
      <c r="E36" t="inlineStr">
        <is>
          <t>NORA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HYPERLINK("https://klasma.github.io/Logging_1884/artfynd/A 20654-2024 artfynd.xlsx", "A 20654-2024")</f>
        <v/>
      </c>
      <c r="T36">
        <f>HYPERLINK("https://klasma.github.io/Logging_1884/kartor/A 20654-2024 karta.png", "A 20654-2024")</f>
        <v/>
      </c>
      <c r="V36">
        <f>HYPERLINK("https://klasma.github.io/Logging_1884/klagomål/A 20654-2024 FSC-klagomål.docx", "A 20654-2024")</f>
        <v/>
      </c>
      <c r="W36">
        <f>HYPERLINK("https://klasma.github.io/Logging_1884/klagomålsmail/A 20654-2024 FSC-klagomål mail.docx", "A 20654-2024")</f>
        <v/>
      </c>
      <c r="X36">
        <f>HYPERLINK("https://klasma.github.io/Logging_1884/tillsyn/A 20654-2024 tillsynsbegäran.docx", "A 20654-2024")</f>
        <v/>
      </c>
      <c r="Y36">
        <f>HYPERLINK("https://klasma.github.io/Logging_1884/tillsynsmail/A 20654-2024 tillsynsbegäran mail.docx", "A 20654-2024")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45877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14312-2025</t>
        </is>
      </c>
      <c r="B38" s="1" t="n">
        <v>45740</v>
      </c>
      <c r="C38" s="1" t="n">
        <v>45877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14312-2025 artfynd.xlsx", "A 14312-2025")</f>
        <v/>
      </c>
      <c r="T38">
        <f>HYPERLINK("https://klasma.github.io/Logging_181884/kartor/A 14312-2025 karta.png", "A 14312-2025")</f>
        <v/>
      </c>
      <c r="V38">
        <f>HYPERLINK("https://klasma.github.io/Logging_181884/klagomål/A 14312-2025 FSC-klagomål.docx", "A 14312-2025")</f>
        <v/>
      </c>
      <c r="W38">
        <f>HYPERLINK("https://klasma.github.io/Logging_181884/klagomålsmail/A 14312-2025 FSC-klagomål mail.docx", "A 14312-2025")</f>
        <v/>
      </c>
      <c r="X38">
        <f>HYPERLINK("https://klasma.github.io/Logging_181884/tillsyn/A 14312-2025 tillsynsbegäran.docx", "A 14312-2025")</f>
        <v/>
      </c>
      <c r="Y38">
        <f>HYPERLINK("https://klasma.github.io/Logging_181884/tillsynsmail/A 14312-2025 tillsynsbegäran mail.docx", "A 14312-2025")</f>
        <v/>
      </c>
      <c r="Z38">
        <f>HYPERLINK("https://klasma.github.io/Logging_181884/fåglar/A 14312-2025 prioriterade fågelarter.docx", "A 14312-2025")</f>
        <v/>
      </c>
    </row>
    <row r="39" ht="15" customHeight="1">
      <c r="A39" t="inlineStr">
        <is>
          <t>A 14306-2025</t>
        </is>
      </c>
      <c r="B39" s="1" t="n">
        <v>45740</v>
      </c>
      <c r="C39" s="1" t="n">
        <v>45877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HYPERLINK("https://klasma.github.io/Logging_181884/artfynd/A 14306-2025 artfynd.xlsx", "A 14306-2025")</f>
        <v/>
      </c>
      <c r="T39">
        <f>HYPERLINK("https://klasma.github.io/Logging_181884/kartor/A 14306-2025 karta.png", "A 14306-2025")</f>
        <v/>
      </c>
      <c r="V39">
        <f>HYPERLINK("https://klasma.github.io/Logging_181884/klagomål/A 14306-2025 FSC-klagomål.docx", "A 14306-2025")</f>
        <v/>
      </c>
      <c r="W39">
        <f>HYPERLINK("https://klasma.github.io/Logging_181884/klagomålsmail/A 14306-2025 FSC-klagomål mail.docx", "A 14306-2025")</f>
        <v/>
      </c>
      <c r="X39">
        <f>HYPERLINK("https://klasma.github.io/Logging_181884/tillsyn/A 14306-2025 tillsynsbegäran.docx", "A 14306-2025")</f>
        <v/>
      </c>
      <c r="Y39">
        <f>HYPERLINK("https://klasma.github.io/Logging_181884/tillsynsmail/A 14306-2025 tillsynsbegäran mail.docx", "A 14306-2025")</f>
        <v/>
      </c>
      <c r="Z39">
        <f>HYPERLINK("https://klasma.github.io/Logging_181884/fåglar/A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</v>
      </c>
      <c r="C40" s="1" t="n">
        <v>45877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20659-2025 artfynd.xlsx", "A 20659-2025")</f>
        <v/>
      </c>
      <c r="T40">
        <f>HYPERLINK("https://klasma.github.io/Logging_181884/kartor/A 20659-2025 karta.png", "A 20659-2025")</f>
        <v/>
      </c>
      <c r="V40">
        <f>HYPERLINK("https://klasma.github.io/Logging_181884/klagomål/A 20659-2025 FSC-klagomål.docx", "A 20659-2025")</f>
        <v/>
      </c>
      <c r="W40">
        <f>HYPERLINK("https://klasma.github.io/Logging_181884/klagomålsmail/A 20659-2025 FSC-klagomål mail.docx", "A 20659-2025")</f>
        <v/>
      </c>
      <c r="X40">
        <f>HYPERLINK("https://klasma.github.io/Logging_181884/tillsyn/A 20659-2025 tillsynsbegäran.docx", "A 20659-2025")</f>
        <v/>
      </c>
      <c r="Y40">
        <f>HYPERLINK("https://klasma.github.io/Logging_181884/tillsynsmail/A 20659-2025 tillsynsbegäran mail.docx", "A 20659-2025")</f>
        <v/>
      </c>
    </row>
    <row r="41" ht="15" customHeight="1">
      <c r="A41" t="inlineStr">
        <is>
          <t>A 26658-2025</t>
        </is>
      </c>
      <c r="B41" s="1" t="n">
        <v>45810</v>
      </c>
      <c r="C41" s="1" t="n">
        <v>45877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26658-2025 artfynd.xlsx", "A 26658-2025")</f>
        <v/>
      </c>
      <c r="T41">
        <f>HYPERLINK("https://klasma.github.io/Logging_181884/kartor/A 26658-2025 karta.png", "A 26658-2025")</f>
        <v/>
      </c>
      <c r="V41">
        <f>HYPERLINK("https://klasma.github.io/Logging_181884/klagomål/A 26658-2025 FSC-klagomål.docx", "A 26658-2025")</f>
        <v/>
      </c>
      <c r="W41">
        <f>HYPERLINK("https://klasma.github.io/Logging_181884/klagomålsmail/A 26658-2025 FSC-klagomål mail.docx", "A 26658-2025")</f>
        <v/>
      </c>
      <c r="X41">
        <f>HYPERLINK("https://klasma.github.io/Logging_181884/tillsyn/A 26658-2025 tillsynsbegäran.docx", "A 26658-2025")</f>
        <v/>
      </c>
      <c r="Y41">
        <f>HYPERLINK("https://klasma.github.io/Logging_181884/tillsynsmail/A 26658-2025 tillsynsbegäran mail.docx", "A 26658-2025")</f>
        <v/>
      </c>
    </row>
    <row r="42" ht="15" customHeight="1">
      <c r="A42" t="inlineStr">
        <is>
          <t>A 26659-2025</t>
        </is>
      </c>
      <c r="B42" s="1" t="n">
        <v>45810</v>
      </c>
      <c r="C42" s="1" t="n">
        <v>45877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HYPERLINK("https://klasma.github.io/Logging_181884/artfynd/A 26659-2025 artfynd.xlsx", "A 26659-2025")</f>
        <v/>
      </c>
      <c r="T42">
        <f>HYPERLINK("https://klasma.github.io/Logging_181884/kartor/A 26659-2025 karta.png", "A 26659-2025")</f>
        <v/>
      </c>
      <c r="V42">
        <f>HYPERLINK("https://klasma.github.io/Logging_181884/klagomål/A 26659-2025 FSC-klagomål.docx", "A 26659-2025")</f>
        <v/>
      </c>
      <c r="W42">
        <f>HYPERLINK("https://klasma.github.io/Logging_181884/klagomålsmail/A 26659-2025 FSC-klagomål mail.docx", "A 26659-2025")</f>
        <v/>
      </c>
      <c r="X42">
        <f>HYPERLINK("https://klasma.github.io/Logging_181884/tillsyn/A 26659-2025 tillsynsbegäran.docx", "A 26659-2025")</f>
        <v/>
      </c>
      <c r="Y42">
        <f>HYPERLINK("https://klasma.github.io/Logging_181884/tillsynsmail/A 26659-2025 tillsynsbegäran mail.docx", "A 26659-2025")</f>
        <v/>
      </c>
    </row>
    <row r="43" ht="15" customHeight="1">
      <c r="A43" t="inlineStr">
        <is>
          <t>A 18891-2019</t>
        </is>
      </c>
      <c r="B43" s="1" t="n">
        <v>43563</v>
      </c>
      <c r="C43" s="1" t="n">
        <v>45877</v>
      </c>
      <c r="D43" t="inlineStr">
        <is>
          <t>ÖREBRO LÄN</t>
        </is>
      </c>
      <c r="E43" t="inlineStr">
        <is>
          <t>NORA</t>
        </is>
      </c>
      <c r="F43" t="inlineStr">
        <is>
          <t>Kommuner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19910-2019</t>
        </is>
      </c>
      <c r="B44" s="1" t="n">
        <v>43567</v>
      </c>
      <c r="C44" s="1" t="n">
        <v>45877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22333-2019</t>
        </is>
      </c>
      <c r="B45" s="1" t="n">
        <v>43586</v>
      </c>
      <c r="C45" s="1" t="n">
        <v>45877</v>
      </c>
      <c r="D45" t="inlineStr">
        <is>
          <t>ÖREBRO LÄN</t>
        </is>
      </c>
      <c r="E45" t="inlineStr">
        <is>
          <t>NORA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22854-2019</t>
        </is>
      </c>
      <c r="B46" s="1" t="n">
        <v>43591</v>
      </c>
      <c r="C46" s="1" t="n">
        <v>45877</v>
      </c>
      <c r="D46" t="inlineStr">
        <is>
          <t>ÖREBRO LÄN</t>
        </is>
      </c>
      <c r="E46" t="inlineStr">
        <is>
          <t>NORA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26226-2019</t>
        </is>
      </c>
      <c r="B47" s="1" t="n">
        <v>43609</v>
      </c>
      <c r="C47" s="1" t="n">
        <v>45877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30147-2019</t>
        </is>
      </c>
      <c r="B48" s="1" t="n">
        <v>43634</v>
      </c>
      <c r="C48" s="1" t="n">
        <v>45877</v>
      </c>
      <c r="D48" t="inlineStr">
        <is>
          <t>ÖREBRO LÄN</t>
        </is>
      </c>
      <c r="E48" t="inlineStr">
        <is>
          <t>NORA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33875-2019</t>
        </is>
      </c>
      <c r="B49" s="1" t="n">
        <v>43653</v>
      </c>
      <c r="C49" s="1" t="n">
        <v>45877</v>
      </c>
      <c r="D49" t="inlineStr">
        <is>
          <t>ÖREBRO LÄN</t>
        </is>
      </c>
      <c r="E49" t="inlineStr">
        <is>
          <t>NORA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36680-2019</t>
        </is>
      </c>
      <c r="B50" s="1" t="n">
        <v>43670</v>
      </c>
      <c r="C50" s="1" t="n">
        <v>45877</v>
      </c>
      <c r="D50" t="inlineStr">
        <is>
          <t>ÖREBRO LÄN</t>
        </is>
      </c>
      <c r="E50" t="inlineStr">
        <is>
          <t>NORA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36564-2019</t>
        </is>
      </c>
      <c r="B51" s="1" t="n">
        <v>43671</v>
      </c>
      <c r="C51" s="1" t="n">
        <v>45877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37406-2019</t>
        </is>
      </c>
      <c r="B52" s="1" t="n">
        <v>43678</v>
      </c>
      <c r="C52" s="1" t="n">
        <v>45877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39679-2019</t>
        </is>
      </c>
      <c r="B53" s="1" t="n">
        <v>43691</v>
      </c>
      <c r="C53" s="1" t="n">
        <v>45877</v>
      </c>
      <c r="D53" t="inlineStr">
        <is>
          <t>ÖREBRO LÄN</t>
        </is>
      </c>
      <c r="E53" t="inlineStr">
        <is>
          <t>NORA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45909-2019</t>
        </is>
      </c>
      <c r="B54" s="1" t="n">
        <v>43717</v>
      </c>
      <c r="C54" s="1" t="n">
        <v>45877</v>
      </c>
      <c r="D54" t="inlineStr">
        <is>
          <t>ÖREBRO LÄN</t>
        </is>
      </c>
      <c r="E54" t="inlineStr">
        <is>
          <t>NORA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52402-2019</t>
        </is>
      </c>
      <c r="B55" s="1" t="n">
        <v>43745</v>
      </c>
      <c r="C55" s="1" t="n">
        <v>45877</v>
      </c>
      <c r="D55" t="inlineStr">
        <is>
          <t>ÖREBRO LÄN</t>
        </is>
      </c>
      <c r="E55" t="inlineStr">
        <is>
          <t>NORA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53666-2019</t>
        </is>
      </c>
      <c r="B56" s="1" t="n">
        <v>43749</v>
      </c>
      <c r="C56" s="1" t="n">
        <v>45877</v>
      </c>
      <c r="D56" t="inlineStr">
        <is>
          <t>ÖREBRO LÄN</t>
        </is>
      </c>
      <c r="E56" t="inlineStr">
        <is>
          <t>NORA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56061-2019</t>
        </is>
      </c>
      <c r="B57" s="1" t="n">
        <v>43759</v>
      </c>
      <c r="C57" s="1" t="n">
        <v>45877</v>
      </c>
      <c r="D57" t="inlineStr">
        <is>
          <t>ÖREBRO LÄN</t>
        </is>
      </c>
      <c r="E57" t="inlineStr">
        <is>
          <t>NORA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56463-2019</t>
        </is>
      </c>
      <c r="B58" s="1" t="n">
        <v>43762</v>
      </c>
      <c r="C58" s="1" t="n">
        <v>45877</v>
      </c>
      <c r="D58" t="inlineStr">
        <is>
          <t>ÖREBRO LÄN</t>
        </is>
      </c>
      <c r="E58" t="inlineStr">
        <is>
          <t>NORA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65138-2019</t>
        </is>
      </c>
      <c r="B59" s="1" t="n">
        <v>43802</v>
      </c>
      <c r="C59" s="1" t="n">
        <v>45877</v>
      </c>
      <c r="D59" t="inlineStr">
        <is>
          <t>ÖREBRO LÄN</t>
        </is>
      </c>
      <c r="E59" t="inlineStr">
        <is>
          <t>NORA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45877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45877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45877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45877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45877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45877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45877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45877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45877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45877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45877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45877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45877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45877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45877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45877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45877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45877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45877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45877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45877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45877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45877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45877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45877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45877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45877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45877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45877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45877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45877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45877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45877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45877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45877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45877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45877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45877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45877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45877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45877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45877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45877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45877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45877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45877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45877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45877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45877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45877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45877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45877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45877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45877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45877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45877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45877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45877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45877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45877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45877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45877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45877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45877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45877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45877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45877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45877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45877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45877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45877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45877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45877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45877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45877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45877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45877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45877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45877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45877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45877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45877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45877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45877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45877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45877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45877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45877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45877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45877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45877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45877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45877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45877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45877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45877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45877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45877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45877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45877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45877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45877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45877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45877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45877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45877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45877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45877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45877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45877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45877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45877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45877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45877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45877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45877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45877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45877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45877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45877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45877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45877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45877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45877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45877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45877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45877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45877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45877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45877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45877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45877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45877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45877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45877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45877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45877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45877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45877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45877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45877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45877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45877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45877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45877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45877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45877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45877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45877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45877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45877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45877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45877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45877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45877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45877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45877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45877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45877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45877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45877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45877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45877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45877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45877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45877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45877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45877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45877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45877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45877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45877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45877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45877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45877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45877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45877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45877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45877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45877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45877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45877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45877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45877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45877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45877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45877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45877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45877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45877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45877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45877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45877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45877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45877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45877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45877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45877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45877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45877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45877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45877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45877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45877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45877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45877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45877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45877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45877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45877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45877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45877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45877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45877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45877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45877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45877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45877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45877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45877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45877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45877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45877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45877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45877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45877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45877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45877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45877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45877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45877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45877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45877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45877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45877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45877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45877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45877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45877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45877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45877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45877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45877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45877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45877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45877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45877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45877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45877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45877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45877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45877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45877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45877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45877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45877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45877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45877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45877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45877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45877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45877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45877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45877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45877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45877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45877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45877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45877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45877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45877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45877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45877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45877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45877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45877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45877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45877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45877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45877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45877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45877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45877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45877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45877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45877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45877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45877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45877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45877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45877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45877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45877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45877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45877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45877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45877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45877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45877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45877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45877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45877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45877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45877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45877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45877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45877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45877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45877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45877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45877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45877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45877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45877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45877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45877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45877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45877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45877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45877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45877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45877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45877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45877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45877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45877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45877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45877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45877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45877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45877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45877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45877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45877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45877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45877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45877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45877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45877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45877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45877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45877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45877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45877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45877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45877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45877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45877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45877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45877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45877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45877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45877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45877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45877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45877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45877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45877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45877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45877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45877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45877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45877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45877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45877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45877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45877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45877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45877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45877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45877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45877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45877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45877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45877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45877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45877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45877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45877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45877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45877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45877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45877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45877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45877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45877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45877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45877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45877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45877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45877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45877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45877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45877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45877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45877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45877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45877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45877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45877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45877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45877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45877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45877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45877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45877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45877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45877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45877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45877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45877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45877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45877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45877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45877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45877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45877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45877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45877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45877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45877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45877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45877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45877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45877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45877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45877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45877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45877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45877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45877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45877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45877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45877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45877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45877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45877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45877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45877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45877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45877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45877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45877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45877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45877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45877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45877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45877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45877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45877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45877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45877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45877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45877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45877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45877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45877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45877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45877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45877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45877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45877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45877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45877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45877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45877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45877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45877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45877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45877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45877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45877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45877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45877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45877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45877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45877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45877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45877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45877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45877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45877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45877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45877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45877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45877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45877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45877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45877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45877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32496-2025</t>
        </is>
      </c>
      <c r="B550" s="1" t="n">
        <v>45838</v>
      </c>
      <c r="C550" s="1" t="n">
        <v>45877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32498-2025</t>
        </is>
      </c>
      <c r="B551" s="1" t="n">
        <v>45838</v>
      </c>
      <c r="C551" s="1" t="n">
        <v>45877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32497-2025</t>
        </is>
      </c>
      <c r="B552" s="1" t="n">
        <v>45838</v>
      </c>
      <c r="C552" s="1" t="n">
        <v>45877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32501-2025</t>
        </is>
      </c>
      <c r="B553" s="1" t="n">
        <v>45838</v>
      </c>
      <c r="C553" s="1" t="n">
        <v>45877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32494-2025</t>
        </is>
      </c>
      <c r="B554" s="1" t="n">
        <v>45838</v>
      </c>
      <c r="C554" s="1" t="n">
        <v>45877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34824-2025</t>
        </is>
      </c>
      <c r="B555" s="1" t="n">
        <v>45849</v>
      </c>
      <c r="C555" s="1" t="n">
        <v>45877</v>
      </c>
      <c r="D555" t="inlineStr">
        <is>
          <t>ÖREBRO LÄN</t>
        </is>
      </c>
      <c r="E555" t="inlineStr">
        <is>
          <t>NORA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34825-2025</t>
        </is>
      </c>
      <c r="B556" s="1" t="n">
        <v>45849</v>
      </c>
      <c r="C556" s="1" t="n">
        <v>45877</v>
      </c>
      <c r="D556" t="inlineStr">
        <is>
          <t>ÖREBRO LÄN</t>
        </is>
      </c>
      <c r="E556" t="inlineStr">
        <is>
          <t>NORA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34835-2025</t>
        </is>
      </c>
      <c r="B557" s="1" t="n">
        <v>45849</v>
      </c>
      <c r="C557" s="1" t="n">
        <v>45877</v>
      </c>
      <c r="D557" t="inlineStr">
        <is>
          <t>ÖREBRO LÄN</t>
        </is>
      </c>
      <c r="E557" t="inlineStr">
        <is>
          <t>NORA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34826-2025</t>
        </is>
      </c>
      <c r="B558" s="1" t="n">
        <v>45849</v>
      </c>
      <c r="C558" s="1" t="n">
        <v>45877</v>
      </c>
      <c r="D558" t="inlineStr">
        <is>
          <t>ÖREBRO LÄN</t>
        </is>
      </c>
      <c r="E558" t="inlineStr">
        <is>
          <t>NORA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34827-2025</t>
        </is>
      </c>
      <c r="B559" s="1" t="n">
        <v>45849</v>
      </c>
      <c r="C559" s="1" t="n">
        <v>45877</v>
      </c>
      <c r="D559" t="inlineStr">
        <is>
          <t>ÖREBRO LÄN</t>
        </is>
      </c>
      <c r="E559" t="inlineStr">
        <is>
          <t>NORA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36089-2025</t>
        </is>
      </c>
      <c r="B560" s="1" t="n">
        <v>45866</v>
      </c>
      <c r="C560" s="1" t="n">
        <v>45877</v>
      </c>
      <c r="D560" t="inlineStr">
        <is>
          <t>ÖREBRO LÄN</t>
        </is>
      </c>
      <c r="E560" t="inlineStr">
        <is>
          <t>NORA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2025-08-09T00:56:35Z</dcterms:created>
  <dcterms:modified xmlns:dcterms="http://purl.org/dc/terms/" xmlns:xsi="http://www.w3.org/2001/XMLSchema-instance" xsi:type="dcterms:W3CDTF">2025-08-09T00:56:36Z</dcterms:modified>
</cp:coreProperties>
</file>