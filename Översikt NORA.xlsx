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45984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45984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45984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45984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45984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45984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45984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45984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45984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42036-2025</t>
        </is>
      </c>
      <c r="B20" s="1" t="n">
        <v>45903.61173611111</v>
      </c>
      <c r="C20" s="1" t="n">
        <v>45984</v>
      </c>
      <c r="D20" t="inlineStr">
        <is>
          <t>ÖREBRO LÄN</t>
        </is>
      </c>
      <c r="E20" t="inlineStr">
        <is>
          <t>NORA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HYPERLINK("https://klasma.github.io/Logging_1884/artfynd/A 42036-2025 artfynd.xlsx", "A 42036-2025")</f>
        <v/>
      </c>
      <c r="T20">
        <f>HYPERLINK("https://klasma.github.io/Logging_1884/kartor/A 42036-2025 karta.png", "A 42036-2025")</f>
        <v/>
      </c>
      <c r="V20">
        <f>HYPERLINK("https://klasma.github.io/Logging_1884/klagomål/A 42036-2025 FSC-klagomål.docx", "A 42036-2025")</f>
        <v/>
      </c>
      <c r="W20">
        <f>HYPERLINK("https://klasma.github.io/Logging_1884/klagomålsmail/A 42036-2025 FSC-klagomål mail.docx", "A 42036-2025")</f>
        <v/>
      </c>
      <c r="X20">
        <f>HYPERLINK("https://klasma.github.io/Logging_1884/tillsyn/A 42036-2025 tillsynsbegäran.docx", "A 42036-2025")</f>
        <v/>
      </c>
      <c r="Y20">
        <f>HYPERLINK("https://klasma.github.io/Logging_1884/tillsynsmail/A 42036-2025 tillsynsbegäran mail.docx", "A 42036-2025")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45984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45984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45984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45984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55261-2025</t>
        </is>
      </c>
      <c r="B25" s="1" t="n">
        <v>45968.64734953704</v>
      </c>
      <c r="C25" s="1" t="n">
        <v>45984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HYPERLINK("https://klasma.github.io/Logging_1884/artfynd/A 55261-2025 artfynd.xlsx", "A 55261-2025")</f>
        <v/>
      </c>
      <c r="T25">
        <f>HYPERLINK("https://klasma.github.io/Logging_1884/kartor/A 55261-2025 karta.png", "A 55261-2025")</f>
        <v/>
      </c>
      <c r="V25">
        <f>HYPERLINK("https://klasma.github.io/Logging_1884/klagomål/A 55261-2025 FSC-klagomål.docx", "A 55261-2025")</f>
        <v/>
      </c>
      <c r="W25">
        <f>HYPERLINK("https://klasma.github.io/Logging_1884/klagomålsmail/A 55261-2025 FSC-klagomål mail.docx", "A 55261-2025")</f>
        <v/>
      </c>
      <c r="X25">
        <f>HYPERLINK("https://klasma.github.io/Logging_1884/tillsyn/A 55261-2025 tillsynsbegäran.docx", "A 55261-2025")</f>
        <v/>
      </c>
      <c r="Y25">
        <f>HYPERLINK("https://klasma.github.io/Logging_1884/tillsynsmail/A 55261-2025 tillsynsbegäran mail.docx", "A 55261-2025")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45984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57511-2025</t>
        </is>
      </c>
      <c r="B27" s="1" t="n">
        <v>45980.60565972222</v>
      </c>
      <c r="C27" s="1" t="n">
        <v>45984</v>
      </c>
      <c r="D27" t="inlineStr">
        <is>
          <t>ÖREBRO LÄN</t>
        </is>
      </c>
      <c r="E27" t="inlineStr">
        <is>
          <t>NORA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HYPERLINK("https://klasma.github.io/Logging_1884/artfynd/A 57511-2025 artfynd.xlsx", "A 57511-2025")</f>
        <v/>
      </c>
      <c r="T27">
        <f>HYPERLINK("https://klasma.github.io/Logging_1884/kartor/A 57511-2025 karta.png", "A 57511-2025")</f>
        <v/>
      </c>
      <c r="V27">
        <f>HYPERLINK("https://klasma.github.io/Logging_1884/klagomål/A 57511-2025 FSC-klagomål.docx", "A 57511-2025")</f>
        <v/>
      </c>
      <c r="W27">
        <f>HYPERLINK("https://klasma.github.io/Logging_1884/klagomålsmail/A 57511-2025 FSC-klagomål mail.docx", "A 57511-2025")</f>
        <v/>
      </c>
      <c r="X27">
        <f>HYPERLINK("https://klasma.github.io/Logging_1884/tillsyn/A 57511-2025 tillsynsbegäran.docx", "A 57511-2025")</f>
        <v/>
      </c>
      <c r="Y27">
        <f>HYPERLINK("https://klasma.github.io/Logging_1884/tillsynsmail/A 57511-2025 tillsynsbegäran mail.docx", "A 57511-2025")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45984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45984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45984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45984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45984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45984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45984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45984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45984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45984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45984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45984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45984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45984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45984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45984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45984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65510-2020</t>
        </is>
      </c>
      <c r="B45" s="1" t="n">
        <v>44173</v>
      </c>
      <c r="C45" s="1" t="n">
        <v>45984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45984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45984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50003-2022</t>
        </is>
      </c>
      <c r="B48" s="1" t="n">
        <v>44865.4325462963</v>
      </c>
      <c r="C48" s="1" t="n">
        <v>45984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42899-2021</t>
        </is>
      </c>
      <c r="B49" s="1" t="n">
        <v>44431.34829861111</v>
      </c>
      <c r="C49" s="1" t="n">
        <v>45984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59606-2021</t>
        </is>
      </c>
      <c r="B50" s="1" t="n">
        <v>44491</v>
      </c>
      <c r="C50" s="1" t="n">
        <v>45984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45984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45984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45984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45984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16326-2021</t>
        </is>
      </c>
      <c r="B55" s="1" t="n">
        <v>44292</v>
      </c>
      <c r="C55" s="1" t="n">
        <v>45984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45984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45984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45984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45984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22650-2022</t>
        </is>
      </c>
      <c r="B60" s="1" t="n">
        <v>44714</v>
      </c>
      <c r="C60" s="1" t="n">
        <v>45984</v>
      </c>
      <c r="D60" t="inlineStr">
        <is>
          <t>ÖREBRO LÄN</t>
        </is>
      </c>
      <c r="E60" t="inlineStr">
        <is>
          <t>NORA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19166-2021</t>
        </is>
      </c>
      <c r="B61" s="1" t="n">
        <v>44308</v>
      </c>
      <c r="C61" s="1" t="n">
        <v>45984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45984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45984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45984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45984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45984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45984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45984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45984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45984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67425-2020</t>
        </is>
      </c>
      <c r="B71" s="1" t="n">
        <v>44181</v>
      </c>
      <c r="C71" s="1" t="n">
        <v>45984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45984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45984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45984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45984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45984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45984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45984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45984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45984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45984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45984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45984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45984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45984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45984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45984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45984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45984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12907-2025</t>
        </is>
      </c>
      <c r="B90" s="1" t="n">
        <v>45733.8203587963</v>
      </c>
      <c r="C90" s="1" t="n">
        <v>45984</v>
      </c>
      <c r="D90" t="inlineStr">
        <is>
          <t>ÖREBRO LÄN</t>
        </is>
      </c>
      <c r="E90" t="inlineStr">
        <is>
          <t>NORA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45984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45984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45984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7148-2021</t>
        </is>
      </c>
      <c r="B94" s="1" t="n">
        <v>44238</v>
      </c>
      <c r="C94" s="1" t="n">
        <v>45984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45984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45984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45984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45984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45984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45984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45984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45984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45984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26320-2022</t>
        </is>
      </c>
      <c r="B104" s="1" t="n">
        <v>44735.60184027778</v>
      </c>
      <c r="C104" s="1" t="n">
        <v>45984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45984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17344-2024</t>
        </is>
      </c>
      <c r="B106" s="1" t="n">
        <v>45414.58052083333</v>
      </c>
      <c r="C106" s="1" t="n">
        <v>45984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38798-2021</t>
        </is>
      </c>
      <c r="B107" s="1" t="n">
        <v>44410</v>
      </c>
      <c r="C107" s="1" t="n">
        <v>45984</v>
      </c>
      <c r="D107" t="inlineStr">
        <is>
          <t>ÖREBRO LÄN</t>
        </is>
      </c>
      <c r="E107" t="inlineStr">
        <is>
          <t>NORA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39513-2025</t>
        </is>
      </c>
      <c r="B108" s="1" t="n">
        <v>45890.41581018519</v>
      </c>
      <c r="C108" s="1" t="n">
        <v>45984</v>
      </c>
      <c r="D108" t="inlineStr">
        <is>
          <t>ÖREBRO LÄN</t>
        </is>
      </c>
      <c r="E108" t="inlineStr">
        <is>
          <t>NORA</t>
        </is>
      </c>
      <c r="F108" t="inlineStr">
        <is>
          <t>Kommuner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45984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45984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45984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64089-2023</t>
        </is>
      </c>
      <c r="B112" s="1" t="n">
        <v>45279</v>
      </c>
      <c r="C112" s="1" t="n">
        <v>45984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70200-2021</t>
        </is>
      </c>
      <c r="B113" s="1" t="n">
        <v>44534.82171296296</v>
      </c>
      <c r="C113" s="1" t="n">
        <v>45984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5562-2025</t>
        </is>
      </c>
      <c r="B114" s="1" t="n">
        <v>45693</v>
      </c>
      <c r="C114" s="1" t="n">
        <v>45984</v>
      </c>
      <c r="D114" t="inlineStr">
        <is>
          <t>ÖREBRO LÄN</t>
        </is>
      </c>
      <c r="E114" t="inlineStr">
        <is>
          <t>NORA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59637-2021</t>
        </is>
      </c>
      <c r="B115" s="1" t="n">
        <v>44493</v>
      </c>
      <c r="C115" s="1" t="n">
        <v>45984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41588-2025</t>
        </is>
      </c>
      <c r="B116" s="1" t="n">
        <v>45901.63114583334</v>
      </c>
      <c r="C116" s="1" t="n">
        <v>45984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45984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5590-2025</t>
        </is>
      </c>
      <c r="B118" s="1" t="n">
        <v>45693</v>
      </c>
      <c r="C118" s="1" t="n">
        <v>45984</v>
      </c>
      <c r="D118" t="inlineStr">
        <is>
          <t>ÖREBRO LÄN</t>
        </is>
      </c>
      <c r="E118" t="inlineStr">
        <is>
          <t>NORA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26657-2025</t>
        </is>
      </c>
      <c r="B119" s="1" t="n">
        <v>45810.39180555556</v>
      </c>
      <c r="C119" s="1" t="n">
        <v>45984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45984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52303-2024</t>
        </is>
      </c>
      <c r="B121" s="1" t="n">
        <v>45608.75231481482</v>
      </c>
      <c r="C121" s="1" t="n">
        <v>45984</v>
      </c>
      <c r="D121" t="inlineStr">
        <is>
          <t>ÖREBRO LÄN</t>
        </is>
      </c>
      <c r="E121" t="inlineStr">
        <is>
          <t>NORA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45984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45984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45984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23277-2024</t>
        </is>
      </c>
      <c r="B125" s="1" t="n">
        <v>45453.40982638889</v>
      </c>
      <c r="C125" s="1" t="n">
        <v>45984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45984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51002-2025</t>
        </is>
      </c>
      <c r="B127" s="1" t="n">
        <v>45947.36173611111</v>
      </c>
      <c r="C127" s="1" t="n">
        <v>45984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51245-2025</t>
        </is>
      </c>
      <c r="B128" s="1" t="n">
        <v>45947.80872685185</v>
      </c>
      <c r="C128" s="1" t="n">
        <v>45984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51246-2025</t>
        </is>
      </c>
      <c r="B129" s="1" t="n">
        <v>45947.81226851852</v>
      </c>
      <c r="C129" s="1" t="n">
        <v>45984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45984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45984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16557-2024</t>
        </is>
      </c>
      <c r="B132" s="1" t="n">
        <v>45408.45260416667</v>
      </c>
      <c r="C132" s="1" t="n">
        <v>45984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43206-2025</t>
        </is>
      </c>
      <c r="B133" s="1" t="n">
        <v>45910.44984953704</v>
      </c>
      <c r="C133" s="1" t="n">
        <v>45984</v>
      </c>
      <c r="D133" t="inlineStr">
        <is>
          <t>ÖREBRO LÄN</t>
        </is>
      </c>
      <c r="E133" t="inlineStr">
        <is>
          <t>NORA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45984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5217-2022</t>
        </is>
      </c>
      <c r="B135" s="1" t="n">
        <v>44593</v>
      </c>
      <c r="C135" s="1" t="n">
        <v>45984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38.4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52380-2025</t>
        </is>
      </c>
      <c r="B136" s="1" t="n">
        <v>45953.94951388889</v>
      </c>
      <c r="C136" s="1" t="n">
        <v>45984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29669-2025</t>
        </is>
      </c>
      <c r="B137" s="1" t="n">
        <v>45825.49673611111</v>
      </c>
      <c r="C137" s="1" t="n">
        <v>45984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65942-2020</t>
        </is>
      </c>
      <c r="B138" s="1" t="n">
        <v>44173</v>
      </c>
      <c r="C138" s="1" t="n">
        <v>45984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4723-2023</t>
        </is>
      </c>
      <c r="B139" s="1" t="n">
        <v>44957.51490740741</v>
      </c>
      <c r="C139" s="1" t="n">
        <v>45984</v>
      </c>
      <c r="D139" t="inlineStr">
        <is>
          <t>ÖREBRO LÄN</t>
        </is>
      </c>
      <c r="E139" t="inlineStr">
        <is>
          <t>NORA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35144-2023</t>
        </is>
      </c>
      <c r="B140" s="1" t="n">
        <v>45145</v>
      </c>
      <c r="C140" s="1" t="n">
        <v>45984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45984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45984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10079-2024</t>
        </is>
      </c>
      <c r="B143" s="1" t="n">
        <v>45364.42604166667</v>
      </c>
      <c r="C143" s="1" t="n">
        <v>45984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48707-2022</t>
        </is>
      </c>
      <c r="B144" s="1" t="n">
        <v>44859</v>
      </c>
      <c r="C144" s="1" t="n">
        <v>45984</v>
      </c>
      <c r="D144" t="inlineStr">
        <is>
          <t>ÖREBRO LÄN</t>
        </is>
      </c>
      <c r="E144" t="inlineStr">
        <is>
          <t>NORA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32501-2025</t>
        </is>
      </c>
      <c r="B145" s="1" t="n">
        <v>45838.46260416666</v>
      </c>
      <c r="C145" s="1" t="n">
        <v>45984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45984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45984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53600-2025</t>
        </is>
      </c>
      <c r="B148" s="1" t="n">
        <v>45960</v>
      </c>
      <c r="C148" s="1" t="n">
        <v>45984</v>
      </c>
      <c r="D148" t="inlineStr">
        <is>
          <t>ÖREBRO LÄN</t>
        </is>
      </c>
      <c r="E148" t="inlineStr">
        <is>
          <t>NORA</t>
        </is>
      </c>
      <c r="F148" t="inlineStr">
        <is>
          <t>Kommuner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45216-2023</t>
        </is>
      </c>
      <c r="B149" s="1" t="n">
        <v>45191</v>
      </c>
      <c r="C149" s="1" t="n">
        <v>45984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17140-2022</t>
        </is>
      </c>
      <c r="B150" s="1" t="n">
        <v>44677.53418981482</v>
      </c>
      <c r="C150" s="1" t="n">
        <v>45984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45984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54595-2025</t>
        </is>
      </c>
      <c r="B152" s="1" t="n">
        <v>45965.7556712963</v>
      </c>
      <c r="C152" s="1" t="n">
        <v>45984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3309-2024</t>
        </is>
      </c>
      <c r="B153" s="1" t="n">
        <v>45317</v>
      </c>
      <c r="C153" s="1" t="n">
        <v>45984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45984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45984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45984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56904-2024</t>
        </is>
      </c>
      <c r="B157" s="1" t="n">
        <v>45628.58696759259</v>
      </c>
      <c r="C157" s="1" t="n">
        <v>45984</v>
      </c>
      <c r="D157" t="inlineStr">
        <is>
          <t>ÖREBRO LÄN</t>
        </is>
      </c>
      <c r="E157" t="inlineStr">
        <is>
          <t>NORA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45984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45984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45984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45984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45984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45984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55035-2025</t>
        </is>
      </c>
      <c r="B164" s="1" t="n">
        <v>45967.64612268518</v>
      </c>
      <c r="C164" s="1" t="n">
        <v>45984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36089-2025</t>
        </is>
      </c>
      <c r="B165" s="1" t="n">
        <v>45866</v>
      </c>
      <c r="C165" s="1" t="n">
        <v>45984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47030-2025</t>
        </is>
      </c>
      <c r="B166" s="1" t="n">
        <v>45929.58944444444</v>
      </c>
      <c r="C166" s="1" t="n">
        <v>45984</v>
      </c>
      <c r="D166" t="inlineStr">
        <is>
          <t>ÖREBRO LÄN</t>
        </is>
      </c>
      <c r="E166" t="inlineStr">
        <is>
          <t>NORA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45984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45984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45984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45984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49498-2024</t>
        </is>
      </c>
      <c r="B171" s="1" t="n">
        <v>45596.3672337963</v>
      </c>
      <c r="C171" s="1" t="n">
        <v>45984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34206-2022</t>
        </is>
      </c>
      <c r="B172" s="1" t="n">
        <v>44791.65267361111</v>
      </c>
      <c r="C172" s="1" t="n">
        <v>45984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17716-2025</t>
        </is>
      </c>
      <c r="B173" s="1" t="n">
        <v>45758.44623842592</v>
      </c>
      <c r="C173" s="1" t="n">
        <v>45984</v>
      </c>
      <c r="D173" t="inlineStr">
        <is>
          <t>ÖREBRO LÄN</t>
        </is>
      </c>
      <c r="E173" t="inlineStr">
        <is>
          <t>NORA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55869-2025</t>
        </is>
      </c>
      <c r="B174" s="1" t="n">
        <v>45973.35285879629</v>
      </c>
      <c r="C174" s="1" t="n">
        <v>45984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45984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45984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56956-2025</t>
        </is>
      </c>
      <c r="B177" s="1" t="n">
        <v>45978.65591435185</v>
      </c>
      <c r="C177" s="1" t="n">
        <v>45984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22.2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37550-2025</t>
        </is>
      </c>
      <c r="B178" s="1" t="n">
        <v>45879.91046296297</v>
      </c>
      <c r="C178" s="1" t="n">
        <v>45984</v>
      </c>
      <c r="D178" t="inlineStr">
        <is>
          <t>ÖREBRO LÄN</t>
        </is>
      </c>
      <c r="E178" t="inlineStr">
        <is>
          <t>NORA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56950-2025</t>
        </is>
      </c>
      <c r="B179" s="1" t="n">
        <v>45978.64929398148</v>
      </c>
      <c r="C179" s="1" t="n">
        <v>45984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56959-2025</t>
        </is>
      </c>
      <c r="B180" s="1" t="n">
        <v>45978.6584375</v>
      </c>
      <c r="C180" s="1" t="n">
        <v>45984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48229-2025</t>
        </is>
      </c>
      <c r="B181" s="1" t="n">
        <v>45933.51694444445</v>
      </c>
      <c r="C181" s="1" t="n">
        <v>45984</v>
      </c>
      <c r="D181" t="inlineStr">
        <is>
          <t>ÖREBRO LÄN</t>
        </is>
      </c>
      <c r="E181" t="inlineStr">
        <is>
          <t>NORA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45984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52505-2023</t>
        </is>
      </c>
      <c r="B183" s="1" t="n">
        <v>45225</v>
      </c>
      <c r="C183" s="1" t="n">
        <v>45984</v>
      </c>
      <c r="D183" t="inlineStr">
        <is>
          <t>ÖREBRO LÄN</t>
        </is>
      </c>
      <c r="E183" t="inlineStr">
        <is>
          <t>NORA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26022-2023</t>
        </is>
      </c>
      <c r="B184" s="1" t="n">
        <v>45091.29174768519</v>
      </c>
      <c r="C184" s="1" t="n">
        <v>45984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38179-2023</t>
        </is>
      </c>
      <c r="B185" s="1" t="n">
        <v>45161.45337962963</v>
      </c>
      <c r="C185" s="1" t="n">
        <v>45984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48775-2025</t>
        </is>
      </c>
      <c r="B186" s="1" t="n">
        <v>45937.00422453704</v>
      </c>
      <c r="C186" s="1" t="n">
        <v>45984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6181-2021</t>
        </is>
      </c>
      <c r="B187" s="1" t="n">
        <v>44232</v>
      </c>
      <c r="C187" s="1" t="n">
        <v>45984</v>
      </c>
      <c r="D187" t="inlineStr">
        <is>
          <t>ÖREBRO LÄN</t>
        </is>
      </c>
      <c r="E187" t="inlineStr">
        <is>
          <t>NORA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14025-2021</t>
        </is>
      </c>
      <c r="B188" s="1" t="n">
        <v>44277.65498842593</v>
      </c>
      <c r="C188" s="1" t="n">
        <v>45984</v>
      </c>
      <c r="D188" t="inlineStr">
        <is>
          <t>ÖREBRO LÄN</t>
        </is>
      </c>
      <c r="E188" t="inlineStr">
        <is>
          <t>NORA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45645-2022</t>
        </is>
      </c>
      <c r="B189" s="1" t="n">
        <v>44845.65557870371</v>
      </c>
      <c r="C189" s="1" t="n">
        <v>45984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40497-2024</t>
        </is>
      </c>
      <c r="B190" s="1" t="n">
        <v>45555.57101851852</v>
      </c>
      <c r="C190" s="1" t="n">
        <v>45984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12183-2025</t>
        </is>
      </c>
      <c r="B191" s="1" t="n">
        <v>45729.46353009259</v>
      </c>
      <c r="C191" s="1" t="n">
        <v>45984</v>
      </c>
      <c r="D191" t="inlineStr">
        <is>
          <t>ÖREBRO LÄN</t>
        </is>
      </c>
      <c r="E191" t="inlineStr">
        <is>
          <t>NORA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49675-2025</t>
        </is>
      </c>
      <c r="B192" s="1" t="n">
        <v>45939</v>
      </c>
      <c r="C192" s="1" t="n">
        <v>45984</v>
      </c>
      <c r="D192" t="inlineStr">
        <is>
          <t>ÖREBRO LÄN</t>
        </is>
      </c>
      <c r="E192" t="inlineStr">
        <is>
          <t>NORA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49671-2025</t>
        </is>
      </c>
      <c r="B193" s="1" t="n">
        <v>45939</v>
      </c>
      <c r="C193" s="1" t="n">
        <v>45984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49676-2025</t>
        </is>
      </c>
      <c r="B194" s="1" t="n">
        <v>45939</v>
      </c>
      <c r="C194" s="1" t="n">
        <v>45984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22389-2023</t>
        </is>
      </c>
      <c r="B195" s="1" t="n">
        <v>45070</v>
      </c>
      <c r="C195" s="1" t="n">
        <v>45984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41696-2023</t>
        </is>
      </c>
      <c r="B196" s="1" t="n">
        <v>45176</v>
      </c>
      <c r="C196" s="1" t="n">
        <v>45984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45984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46544-2021</t>
        </is>
      </c>
      <c r="B198" s="1" t="n">
        <v>44445</v>
      </c>
      <c r="C198" s="1" t="n">
        <v>45984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40126-2021</t>
        </is>
      </c>
      <c r="B199" s="1" t="n">
        <v>44418</v>
      </c>
      <c r="C199" s="1" t="n">
        <v>45984</v>
      </c>
      <c r="D199" t="inlineStr">
        <is>
          <t>ÖREBRO LÄN</t>
        </is>
      </c>
      <c r="E199" t="inlineStr">
        <is>
          <t>NORA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35608-2021</t>
        </is>
      </c>
      <c r="B200" s="1" t="n">
        <v>44386.38070601852</v>
      </c>
      <c r="C200" s="1" t="n">
        <v>45984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45984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63825-2023</t>
        </is>
      </c>
      <c r="B202" s="1" t="n">
        <v>45278</v>
      </c>
      <c r="C202" s="1" t="n">
        <v>45984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26278-2021</t>
        </is>
      </c>
      <c r="B203" s="1" t="n">
        <v>44347</v>
      </c>
      <c r="C203" s="1" t="n">
        <v>45984</v>
      </c>
      <c r="D203" t="inlineStr">
        <is>
          <t>ÖREBRO LÄN</t>
        </is>
      </c>
      <c r="E203" t="inlineStr">
        <is>
          <t>NORA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45984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45984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45984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45984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45984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45984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8295-2024</t>
        </is>
      </c>
      <c r="B210" s="1" t="n">
        <v>45352.43674768518</v>
      </c>
      <c r="C210" s="1" t="n">
        <v>45984</v>
      </c>
      <c r="D210" t="inlineStr">
        <is>
          <t>ÖREBRO LÄN</t>
        </is>
      </c>
      <c r="E210" t="inlineStr">
        <is>
          <t>NORA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45984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24820-2024</t>
        </is>
      </c>
      <c r="B212" s="1" t="n">
        <v>45461.3465625</v>
      </c>
      <c r="C212" s="1" t="n">
        <v>45984</v>
      </c>
      <c r="D212" t="inlineStr">
        <is>
          <t>ÖREBRO LÄN</t>
        </is>
      </c>
      <c r="E212" t="inlineStr">
        <is>
          <t>NORA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57639-2023</t>
        </is>
      </c>
      <c r="B213" s="1" t="n">
        <v>45246</v>
      </c>
      <c r="C213" s="1" t="n">
        <v>45984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45984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45234-2023</t>
        </is>
      </c>
      <c r="B215" s="1" t="n">
        <v>45191.59268518518</v>
      </c>
      <c r="C215" s="1" t="n">
        <v>45984</v>
      </c>
      <c r="D215" t="inlineStr">
        <is>
          <t>ÖREBRO LÄN</t>
        </is>
      </c>
      <c r="E215" t="inlineStr">
        <is>
          <t>NORA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12646-2024</t>
        </is>
      </c>
      <c r="B216" s="1" t="n">
        <v>45384.34563657407</v>
      </c>
      <c r="C216" s="1" t="n">
        <v>45984</v>
      </c>
      <c r="D216" t="inlineStr">
        <is>
          <t>ÖREBRO LÄN</t>
        </is>
      </c>
      <c r="E216" t="inlineStr">
        <is>
          <t>NORA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73009-2021</t>
        </is>
      </c>
      <c r="B217" s="1" t="n">
        <v>44550.33282407407</v>
      </c>
      <c r="C217" s="1" t="n">
        <v>45984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40339-2024</t>
        </is>
      </c>
      <c r="B218" s="1" t="n">
        <v>45555.33125</v>
      </c>
      <c r="C218" s="1" t="n">
        <v>45984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43843-2023</t>
        </is>
      </c>
      <c r="B219" s="1" t="n">
        <v>45187</v>
      </c>
      <c r="C219" s="1" t="n">
        <v>45984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348-2025</t>
        </is>
      </c>
      <c r="B220" s="1" t="n">
        <v>45660</v>
      </c>
      <c r="C220" s="1" t="n">
        <v>45984</v>
      </c>
      <c r="D220" t="inlineStr">
        <is>
          <t>ÖREBRO LÄN</t>
        </is>
      </c>
      <c r="E220" t="inlineStr">
        <is>
          <t>NORA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37849-2023</t>
        </is>
      </c>
      <c r="B221" s="1" t="n">
        <v>45158</v>
      </c>
      <c r="C221" s="1" t="n">
        <v>45984</v>
      </c>
      <c r="D221" t="inlineStr">
        <is>
          <t>ÖREBRO LÄN</t>
        </is>
      </c>
      <c r="E221" t="inlineStr">
        <is>
          <t>NORA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55766-2024</t>
        </is>
      </c>
      <c r="B222" s="1" t="n">
        <v>45623.37702546296</v>
      </c>
      <c r="C222" s="1" t="n">
        <v>45984</v>
      </c>
      <c r="D222" t="inlineStr">
        <is>
          <t>ÖREBRO LÄN</t>
        </is>
      </c>
      <c r="E222" t="inlineStr">
        <is>
          <t>NORA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49959-2023</t>
        </is>
      </c>
      <c r="B223" s="1" t="n">
        <v>45215.38530092593</v>
      </c>
      <c r="C223" s="1" t="n">
        <v>45984</v>
      </c>
      <c r="D223" t="inlineStr">
        <is>
          <t>ÖREBRO LÄN</t>
        </is>
      </c>
      <c r="E223" t="inlineStr">
        <is>
          <t>NORA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36064-2023</t>
        </is>
      </c>
      <c r="B224" s="1" t="n">
        <v>45149</v>
      </c>
      <c r="C224" s="1" t="n">
        <v>45984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46688-2023</t>
        </is>
      </c>
      <c r="B225" s="1" t="n">
        <v>45198.51881944444</v>
      </c>
      <c r="C225" s="1" t="n">
        <v>45984</v>
      </c>
      <c r="D225" t="inlineStr">
        <is>
          <t>ÖREBRO LÄN</t>
        </is>
      </c>
      <c r="E225" t="inlineStr">
        <is>
          <t>NORA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9457-2025</t>
        </is>
      </c>
      <c r="B226" s="1" t="n">
        <v>45714</v>
      </c>
      <c r="C226" s="1" t="n">
        <v>45984</v>
      </c>
      <c r="D226" t="inlineStr">
        <is>
          <t>ÖREBRO LÄN</t>
        </is>
      </c>
      <c r="E226" t="inlineStr">
        <is>
          <t>NORA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34759-2024</t>
        </is>
      </c>
      <c r="B227" s="1" t="n">
        <v>45526</v>
      </c>
      <c r="C227" s="1" t="n">
        <v>45984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17770-2022</t>
        </is>
      </c>
      <c r="B228" s="1" t="n">
        <v>44682.64953703704</v>
      </c>
      <c r="C228" s="1" t="n">
        <v>45984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16529-2024</t>
        </is>
      </c>
      <c r="B229" s="1" t="n">
        <v>45408.42216435185</v>
      </c>
      <c r="C229" s="1" t="n">
        <v>45984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39257-2023</t>
        </is>
      </c>
      <c r="B230" s="1" t="n">
        <v>45166.48097222222</v>
      </c>
      <c r="C230" s="1" t="n">
        <v>45984</v>
      </c>
      <c r="D230" t="inlineStr">
        <is>
          <t>ÖREBRO LÄN</t>
        </is>
      </c>
      <c r="E230" t="inlineStr">
        <is>
          <t>NORA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45984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11864-2025</t>
        </is>
      </c>
      <c r="B232" s="1" t="n">
        <v>45728.41668981482</v>
      </c>
      <c r="C232" s="1" t="n">
        <v>45984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11888-2025</t>
        </is>
      </c>
      <c r="B233" s="1" t="n">
        <v>45728.45688657407</v>
      </c>
      <c r="C233" s="1" t="n">
        <v>45984</v>
      </c>
      <c r="D233" t="inlineStr">
        <is>
          <t>ÖREBRO LÄN</t>
        </is>
      </c>
      <c r="E233" t="inlineStr">
        <is>
          <t>NORA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62217-2023</t>
        </is>
      </c>
      <c r="B234" s="1" t="n">
        <v>45267.51355324074</v>
      </c>
      <c r="C234" s="1" t="n">
        <v>45984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20565-2025</t>
        </is>
      </c>
      <c r="B235" s="1" t="n">
        <v>45775.66307870371</v>
      </c>
      <c r="C235" s="1" t="n">
        <v>45984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53129-2023</t>
        </is>
      </c>
      <c r="B236" s="1" t="n">
        <v>45229</v>
      </c>
      <c r="C236" s="1" t="n">
        <v>45984</v>
      </c>
      <c r="D236" t="inlineStr">
        <is>
          <t>ÖREBRO LÄN</t>
        </is>
      </c>
      <c r="E236" t="inlineStr">
        <is>
          <t>NORA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62592-2021</t>
        </is>
      </c>
      <c r="B237" s="1" t="n">
        <v>44503</v>
      </c>
      <c r="C237" s="1" t="n">
        <v>45984</v>
      </c>
      <c r="D237" t="inlineStr">
        <is>
          <t>ÖREBRO LÄN</t>
        </is>
      </c>
      <c r="E237" t="inlineStr">
        <is>
          <t>NORA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16957-2025</t>
        </is>
      </c>
      <c r="B238" s="1" t="n">
        <v>45755.44732638889</v>
      </c>
      <c r="C238" s="1" t="n">
        <v>45984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34722-2024</t>
        </is>
      </c>
      <c r="B239" s="1" t="n">
        <v>45526</v>
      </c>
      <c r="C239" s="1" t="n">
        <v>45984</v>
      </c>
      <c r="D239" t="inlineStr">
        <is>
          <t>ÖREBRO LÄN</t>
        </is>
      </c>
      <c r="E239" t="inlineStr">
        <is>
          <t>NORA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26023-2023</t>
        </is>
      </c>
      <c r="B240" s="1" t="n">
        <v>45091.2925</v>
      </c>
      <c r="C240" s="1" t="n">
        <v>45984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57316-2022</t>
        </is>
      </c>
      <c r="B241" s="1" t="n">
        <v>44896.32079861111</v>
      </c>
      <c r="C241" s="1" t="n">
        <v>45984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48610-2023</t>
        </is>
      </c>
      <c r="B242" s="1" t="n">
        <v>45208</v>
      </c>
      <c r="C242" s="1" t="n">
        <v>45984</v>
      </c>
      <c r="D242" t="inlineStr">
        <is>
          <t>ÖREBRO LÄN</t>
        </is>
      </c>
      <c r="E242" t="inlineStr">
        <is>
          <t>NORA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24832-2024</t>
        </is>
      </c>
      <c r="B243" s="1" t="n">
        <v>45461.38202546296</v>
      </c>
      <c r="C243" s="1" t="n">
        <v>45984</v>
      </c>
      <c r="D243" t="inlineStr">
        <is>
          <t>ÖREBRO LÄN</t>
        </is>
      </c>
      <c r="E243" t="inlineStr">
        <is>
          <t>NORA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45984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41669-2021</t>
        </is>
      </c>
      <c r="B245" s="1" t="n">
        <v>44425</v>
      </c>
      <c r="C245" s="1" t="n">
        <v>45984</v>
      </c>
      <c r="D245" t="inlineStr">
        <is>
          <t>ÖREBRO LÄN</t>
        </is>
      </c>
      <c r="E245" t="inlineStr">
        <is>
          <t>NORA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34164-2022</t>
        </is>
      </c>
      <c r="B246" s="1" t="n">
        <v>44791.58640046296</v>
      </c>
      <c r="C246" s="1" t="n">
        <v>45984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45984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45984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45984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45984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45984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45984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45984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45984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45984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45984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45984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45984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45984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45984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45984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45984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45984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45984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45984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45984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45984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45984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45984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45984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45984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45984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45984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45984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45984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45984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45984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45984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21846-2025</t>
        </is>
      </c>
      <c r="B279" s="1" t="n">
        <v>45784.33967592593</v>
      </c>
      <c r="C279" s="1" t="n">
        <v>45984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2025-11-23T10:13:25Z</dcterms:created>
  <dcterms:modified xmlns:dcterms="http://purl.org/dc/terms/" xmlns:xsi="http://www.w3.org/2001/XMLSchema-instance" xsi:type="dcterms:W3CDTF">2025-11-23T10:13:26Z</dcterms:modified>
</cp:coreProperties>
</file>