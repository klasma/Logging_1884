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46275</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46275</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46275</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46275</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46275</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46275</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46275</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46275</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46275</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46275</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46275</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34280-2026</t>
        </is>
      </c>
      <c r="B13" t="inlineStr">
        <is>
          <t>avverkningsanmälan</t>
        </is>
      </c>
      <c r="C13" t="inlineStr">
        <is>
          <t>Föryngringsavverkning</t>
        </is>
      </c>
      <c r="D13" s="1" t="n">
        <v>46253</v>
      </c>
      <c r="E13" s="1" t="n">
        <v>46275</v>
      </c>
      <c r="F13" t="inlineStr">
        <is>
          <t>ÖREBRO LÄN</t>
        </is>
      </c>
      <c r="G13" t="inlineStr">
        <is>
          <t>NORA</t>
        </is>
      </c>
      <c r="I13" t="n">
        <v>5.5</v>
      </c>
      <c r="J13" t="n">
        <v>4</v>
      </c>
      <c r="K13" t="n">
        <v>3</v>
      </c>
      <c r="L13" t="n">
        <v>2</v>
      </c>
      <c r="M13" t="n">
        <v>1</v>
      </c>
      <c r="N13" t="n">
        <v>0</v>
      </c>
      <c r="O13" t="n">
        <v>0</v>
      </c>
      <c r="P13" t="n">
        <v>0</v>
      </c>
      <c r="Q13" t="n">
        <v>3</v>
      </c>
      <c r="R13" t="n">
        <v>1</v>
      </c>
      <c r="S13" t="n">
        <v>8</v>
      </c>
      <c r="T13" t="n">
        <v>26</v>
      </c>
      <c r="U13" t="n">
        <v>26</v>
      </c>
      <c r="V13" s="2" t="inlineStr">
        <is>
          <t>Knärot
Dropptaggsvamp
Tretåig hackspett
Bronshjon
Thomsons trägnagare
Vedticka
Spillkråka
Tjäder</t>
        </is>
      </c>
      <c r="W13">
        <f>HYPERLINK("https://klasma.github.io/Logging_1884/artfynd/A 34280-2026 artfynd.xlsx", "A 34280-2026")</f>
        <v/>
      </c>
      <c r="X13">
        <f>HYPERLINK("https://klasma.github.io/Logging_1884/kartor/A 34280-2026 karta.png", "A 34280-2026")</f>
        <v/>
      </c>
      <c r="Y13">
        <f>HYPERLINK("https://klasma.github.io/Logging_1884/kartor_geotiff/A 34280-2026 georefererad karta.tif", "A 34280-2026")</f>
        <v/>
      </c>
      <c r="Z13">
        <f>HYPERLINK("https://klasma.github.io/Logging_1884/knärot/A 34280-2026 karta knärot.png", "A 34280-2026")</f>
        <v/>
      </c>
      <c r="AA13">
        <f>HYPERLINK("https://klasma.github.io/Logging_1884/klagomål/A 34280-2026 FSC-klagomål.docx", "A 34280-2026")</f>
        <v/>
      </c>
      <c r="AB13">
        <f>HYPERLINK("https://klasma.github.io/Logging_1884/klagomålsmail/A 34280-2026 FSC-klagomål mail.docx", "A 34280-2026")</f>
        <v/>
      </c>
      <c r="AC13">
        <f>HYPERLINK("https://klasma.github.io/Logging_1884/tillsyn/A 34280-2026 tillsynsbegäran.docx", "A 34280-2026")</f>
        <v/>
      </c>
      <c r="AD13">
        <f>HYPERLINK("https://klasma.github.io/Logging_1884/tillsynsmail/A 34280-2026 tillsynsbegäran mail.docx", "A 34280-2026")</f>
        <v/>
      </c>
      <c r="AE13">
        <f>HYPERLINK("https://klasma.github.io/Logging_1884/fåglar/A 34280-2026 prioriterade fågelarter.docx", "A 34280-2026")</f>
        <v/>
      </c>
    </row>
    <row r="14" ht="15" customHeight="1">
      <c r="A14" t="inlineStr">
        <is>
          <t>A 33136-2025</t>
        </is>
      </c>
      <c r="B14" t="inlineStr">
        <is>
          <t>avverkningsanmälan</t>
        </is>
      </c>
      <c r="C14" t="inlineStr">
        <is>
          <t>Föryngringsavverkning</t>
        </is>
      </c>
      <c r="D14" s="1" t="n">
        <v>45840</v>
      </c>
      <c r="E14" s="1" t="n">
        <v>46275</v>
      </c>
      <c r="F14" t="inlineStr">
        <is>
          <t>ÖREBRO LÄN</t>
        </is>
      </c>
      <c r="G14" t="inlineStr">
        <is>
          <t>NORA</t>
        </is>
      </c>
      <c r="H14" t="inlineStr">
        <is>
          <t>Sveaskog</t>
        </is>
      </c>
      <c r="I14" t="n">
        <v>4.2</v>
      </c>
      <c r="J14" t="n">
        <v>3</v>
      </c>
      <c r="K14" t="n">
        <v>1</v>
      </c>
      <c r="L14" t="n">
        <v>2</v>
      </c>
      <c r="M14" t="n">
        <v>0</v>
      </c>
      <c r="N14" t="n">
        <v>0</v>
      </c>
      <c r="O14" t="n">
        <v>0</v>
      </c>
      <c r="P14" t="n">
        <v>0</v>
      </c>
      <c r="Q14" t="n">
        <v>2</v>
      </c>
      <c r="R14" t="n">
        <v>0</v>
      </c>
      <c r="S14" t="n">
        <v>6</v>
      </c>
      <c r="T14" t="n">
        <v>8</v>
      </c>
      <c r="U14" t="n">
        <v>0</v>
      </c>
      <c r="V14" s="2" t="inlineStr">
        <is>
          <t>Orange taggsvamp
Tallticka
Smal svampklubba
Spillkråka
Lopplummer (aggregat)
Äkta lopplummer</t>
        </is>
      </c>
      <c r="W14">
        <f>HYPERLINK("https://klasma.github.io/Logging_1884/artfynd/A 33136-2025 artfynd.xlsx", "A 33136-2025")</f>
        <v/>
      </c>
      <c r="X14">
        <f>HYPERLINK("https://klasma.github.io/Logging_1884/kartor/A 33136-2025 karta.png", "A 33136-2025")</f>
        <v/>
      </c>
      <c r="Y14">
        <f>HYPERLINK("https://klasma.github.io/Logging_1884/kartor_geotiff/A 33136-2025 georefererad karta.tif", "A 33136-2025")</f>
        <v/>
      </c>
      <c r="AA14">
        <f>HYPERLINK("https://klasma.github.io/Logging_1884/klagomål/A 33136-2025 FSC-klagomål.docx", "A 33136-2025")</f>
        <v/>
      </c>
      <c r="AB14">
        <f>HYPERLINK("https://klasma.github.io/Logging_1884/klagomålsmail/A 33136-2025 FSC-klagomål mail.docx", "A 33136-2025")</f>
        <v/>
      </c>
      <c r="AC14">
        <f>HYPERLINK("https://klasma.github.io/Logging_1884/tillsyn/A 33136-2025 tillsynsbegäran.docx", "A 33136-2025")</f>
        <v/>
      </c>
      <c r="AD14">
        <f>HYPERLINK("https://klasma.github.io/Logging_1884/tillsynsmail/A 33136-2025 tillsynsbegäran mail.docx", "A 33136-2025")</f>
        <v/>
      </c>
      <c r="AE14">
        <f>HYPERLINK("https://klasma.github.io/Logging_1884/fåglar/A 33136-2025 prioriterade fågelarter.docx", "A 33136-2025")</f>
        <v/>
      </c>
    </row>
    <row r="15" ht="15" customHeight="1">
      <c r="A15" t="inlineStr">
        <is>
          <t>A 63537-2025</t>
        </is>
      </c>
      <c r="B15" t="inlineStr">
        <is>
          <t>avverkningsanmälan</t>
        </is>
      </c>
      <c r="C15" t="inlineStr">
        <is>
          <t>Föryngringsavverkning</t>
        </is>
      </c>
      <c r="D15" s="1" t="n">
        <v>46013</v>
      </c>
      <c r="E15" s="1" t="n">
        <v>46275</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46275</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36452-2026</t>
        </is>
      </c>
      <c r="B17" t="inlineStr">
        <is>
          <t>avverkningsanmälan</t>
        </is>
      </c>
      <c r="C17" t="inlineStr">
        <is>
          <t>Föryngringsavverkning</t>
        </is>
      </c>
      <c r="D17" s="1" t="n">
        <v>46269</v>
      </c>
      <c r="E17" s="1" t="n">
        <v>46275</v>
      </c>
      <c r="F17" t="inlineStr">
        <is>
          <t>ÖREBRO LÄN</t>
        </is>
      </c>
      <c r="G17" t="inlineStr">
        <is>
          <t>NORA</t>
        </is>
      </c>
      <c r="H17" t="inlineStr">
        <is>
          <t>Kommuner</t>
        </is>
      </c>
      <c r="I17" t="n">
        <v>4.7</v>
      </c>
      <c r="J17" t="n">
        <v>2</v>
      </c>
      <c r="K17" t="n">
        <v>2</v>
      </c>
      <c r="L17" t="n">
        <v>1</v>
      </c>
      <c r="M17" t="n">
        <v>0</v>
      </c>
      <c r="N17" t="n">
        <v>0</v>
      </c>
      <c r="O17" t="n">
        <v>0</v>
      </c>
      <c r="P17" t="n">
        <v>0</v>
      </c>
      <c r="Q17" t="n">
        <v>1</v>
      </c>
      <c r="R17" t="n">
        <v>0</v>
      </c>
      <c r="S17" t="n">
        <v>6</v>
      </c>
      <c r="T17" t="n">
        <v>10</v>
      </c>
      <c r="U17" t="n">
        <v>4</v>
      </c>
      <c r="V17" s="2" t="inlineStr">
        <is>
          <t>Svartvit taggsvamp
Bronshjon
Vedticka
Linnea
Spillkråka
Svartvit flugsnappare</t>
        </is>
      </c>
      <c r="W17">
        <f>HYPERLINK("https://klasma.github.io/Logging_1884/artfynd/A 36452-2026 artfynd.xlsx", "A 36452-2026")</f>
        <v/>
      </c>
      <c r="X17">
        <f>HYPERLINK("https://klasma.github.io/Logging_1884/kartor/A 36452-2026 karta.png", "A 36452-2026")</f>
        <v/>
      </c>
      <c r="Y17">
        <f>HYPERLINK("https://klasma.github.io/Logging_1884/kartor_geotiff/A 36452-2026 georefererad karta.tif", "A 36452-2026")</f>
        <v/>
      </c>
      <c r="AA17">
        <f>HYPERLINK("https://klasma.github.io/Logging_1884/klagomål/A 36452-2026 FSC-klagomål.docx", "A 36452-2026")</f>
        <v/>
      </c>
      <c r="AB17">
        <f>HYPERLINK("https://klasma.github.io/Logging_1884/klagomålsmail/A 36452-2026 FSC-klagomål mail.docx", "A 36452-2026")</f>
        <v/>
      </c>
      <c r="AC17">
        <f>HYPERLINK("https://klasma.github.io/Logging_1884/tillsyn/A 36452-2026 tillsynsbegäran.docx", "A 36452-2026")</f>
        <v/>
      </c>
      <c r="AD17">
        <f>HYPERLINK("https://klasma.github.io/Logging_1884/tillsynsmail/A 36452-2026 tillsynsbegäran mail.docx", "A 36452-2026")</f>
        <v/>
      </c>
      <c r="AE17">
        <f>HYPERLINK("https://klasma.github.io/Logging_1884/fåglar/A 36452-2026 prioriterade fågelarter.docx", "A 36452-2026")</f>
        <v/>
      </c>
    </row>
    <row r="18" ht="15" customHeight="1">
      <c r="A18" t="inlineStr">
        <is>
          <t>A 60839-2021</t>
        </is>
      </c>
      <c r="B18" t="inlineStr">
        <is>
          <t>avverkningsanmälan</t>
        </is>
      </c>
      <c r="C18" t="inlineStr">
        <is>
          <t>Avverkning för annat ändamål</t>
        </is>
      </c>
      <c r="D18" s="1" t="n">
        <v>44495</v>
      </c>
      <c r="E18" s="1" t="n">
        <v>46275</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46275</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46275</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46275</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46275</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46275</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46275</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46275</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46275</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46275</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46275</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41696-2023</t>
        </is>
      </c>
      <c r="B29" t="inlineStr">
        <is>
          <t>avverkningsanmälan</t>
        </is>
      </c>
      <c r="C29" t="inlineStr">
        <is>
          <t>Avverkning för annat ändamål</t>
        </is>
      </c>
      <c r="D29" s="1" t="n">
        <v>45176</v>
      </c>
      <c r="E29" s="1" t="n">
        <v>46275</v>
      </c>
      <c r="F29" t="inlineStr">
        <is>
          <t>ÖREBRO LÄN</t>
        </is>
      </c>
      <c r="G29" t="inlineStr">
        <is>
          <t>NORA</t>
        </is>
      </c>
      <c r="I29" t="n">
        <v>1.1</v>
      </c>
      <c r="J29" t="n">
        <v>2</v>
      </c>
      <c r="K29" t="n">
        <v>0</v>
      </c>
      <c r="L29" t="n">
        <v>0</v>
      </c>
      <c r="M29" t="n">
        <v>0</v>
      </c>
      <c r="N29" t="n">
        <v>0</v>
      </c>
      <c r="O29" t="n">
        <v>0</v>
      </c>
      <c r="P29" t="n">
        <v>0</v>
      </c>
      <c r="Q29" t="n">
        <v>0</v>
      </c>
      <c r="R29" t="n">
        <v>0</v>
      </c>
      <c r="S29" t="n">
        <v>2</v>
      </c>
      <c r="T29" t="n">
        <v>2</v>
      </c>
      <c r="U29" t="n">
        <v>2</v>
      </c>
      <c r="V29" s="2" t="inlineStr">
        <is>
          <t>Järpe
Spillkråka</t>
        </is>
      </c>
      <c r="W29">
        <f>HYPERLINK("https://klasma.github.io/Logging_1884/artfynd/A 41696-2023 artfynd.xlsx", "A 41696-2023")</f>
        <v/>
      </c>
      <c r="X29">
        <f>HYPERLINK("https://klasma.github.io/Logging_1884/kartor/A 41696-2023 karta.png", "A 41696-2023")</f>
        <v/>
      </c>
      <c r="Y29">
        <f>HYPERLINK("https://klasma.github.io/Logging_1884/kartor_geotiff/A 41696-2023 georefererad karta.tif", "A 41696-2023")</f>
        <v/>
      </c>
      <c r="AA29">
        <f>HYPERLINK("https://klasma.github.io/Logging_1884/klagomål/A 41696-2023 FSC-klagomål.docx", "A 41696-2023")</f>
        <v/>
      </c>
      <c r="AB29">
        <f>HYPERLINK("https://klasma.github.io/Logging_1884/klagomålsmail/A 41696-2023 FSC-klagomål mail.docx", "A 41696-2023")</f>
        <v/>
      </c>
      <c r="AC29">
        <f>HYPERLINK("https://klasma.github.io/Logging_1884/tillsyn/A 41696-2023 tillsynsbegäran.docx", "A 41696-2023")</f>
        <v/>
      </c>
      <c r="AD29">
        <f>HYPERLINK("https://klasma.github.io/Logging_1884/tillsynsmail/A 41696-2023 tillsynsbegäran mail.docx", "A 41696-2023")</f>
        <v/>
      </c>
      <c r="AE29">
        <f>HYPERLINK("https://klasma.github.io/Logging_1884/fåglar/A 41696-2023 prioriterade fågelarter.docx", "A 41696-2023")</f>
        <v/>
      </c>
    </row>
    <row r="30" ht="15" customHeight="1">
      <c r="A30" t="inlineStr">
        <is>
          <t>A 16554-2024</t>
        </is>
      </c>
      <c r="B30" t="inlineStr">
        <is>
          <t>avverkningsanmälan</t>
        </is>
      </c>
      <c r="C30" t="inlineStr">
        <is>
          <t>Avverkning för att bevara och utveckla /försöksver</t>
        </is>
      </c>
      <c r="D30" s="1" t="n">
        <v>45408</v>
      </c>
      <c r="E30" s="1" t="n">
        <v>46275</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63825-2023</t>
        </is>
      </c>
      <c r="B31" t="inlineStr">
        <is>
          <t>avverkningsanmälan</t>
        </is>
      </c>
      <c r="C31" t="inlineStr">
        <is>
          <t>Föryngringsavverkning</t>
        </is>
      </c>
      <c r="D31" s="1" t="n">
        <v>45278</v>
      </c>
      <c r="E31" s="1" t="n">
        <v>46275</v>
      </c>
      <c r="F31" t="inlineStr">
        <is>
          <t>ÖREBRO LÄN</t>
        </is>
      </c>
      <c r="G31" t="inlineStr">
        <is>
          <t>NORA</t>
        </is>
      </c>
      <c r="H31" t="inlineStr">
        <is>
          <t>Sveaskog</t>
        </is>
      </c>
      <c r="I31" t="n">
        <v>1.4</v>
      </c>
      <c r="J31" t="n">
        <v>2</v>
      </c>
      <c r="K31" t="n">
        <v>0</v>
      </c>
      <c r="L31" t="n">
        <v>0</v>
      </c>
      <c r="M31" t="n">
        <v>0</v>
      </c>
      <c r="N31" t="n">
        <v>0</v>
      </c>
      <c r="O31" t="n">
        <v>0</v>
      </c>
      <c r="P31" t="n">
        <v>0</v>
      </c>
      <c r="Q31" t="n">
        <v>0</v>
      </c>
      <c r="R31" t="n">
        <v>0</v>
      </c>
      <c r="S31" t="n">
        <v>2</v>
      </c>
      <c r="T31" t="n">
        <v>2</v>
      </c>
      <c r="U31" t="n">
        <v>0</v>
      </c>
      <c r="V31" s="2" t="inlineStr">
        <is>
          <t>Mattlummer
Skogsödla</t>
        </is>
      </c>
      <c r="W31">
        <f>HYPERLINK("https://klasma.github.io/Logging_1884/artfynd/A 63825-2023 artfynd.xlsx", "A 63825-2023")</f>
        <v/>
      </c>
      <c r="X31">
        <f>HYPERLINK("https://klasma.github.io/Logging_1884/kartor/A 63825-2023 karta.png", "A 63825-2023")</f>
        <v/>
      </c>
      <c r="Y31">
        <f>HYPERLINK("https://klasma.github.io/Logging_1884/kartor_geotiff/A 63825-2023 georefererad karta.tif", "A 63825-2023")</f>
        <v/>
      </c>
      <c r="AA31">
        <f>HYPERLINK("https://klasma.github.io/Logging_1884/klagomål/A 63825-2023 FSC-klagomål.docx", "A 63825-2023")</f>
        <v/>
      </c>
      <c r="AB31">
        <f>HYPERLINK("https://klasma.github.io/Logging_1884/klagomålsmail/A 63825-2023 FSC-klagomål mail.docx", "A 63825-2023")</f>
        <v/>
      </c>
      <c r="AC31">
        <f>HYPERLINK("https://klasma.github.io/Logging_1884/tillsyn/A 63825-2023 tillsynsbegäran.docx", "A 63825-2023")</f>
        <v/>
      </c>
      <c r="AD31">
        <f>HYPERLINK("https://klasma.github.io/Logging_1884/tillsynsmail/A 63825-2023 tillsynsbegäran mail.docx", "A 63825-2023")</f>
        <v/>
      </c>
    </row>
    <row r="32" ht="15" customHeight="1">
      <c r="A32" t="inlineStr">
        <is>
          <t>A 16642-2024</t>
        </is>
      </c>
      <c r="B32" t="inlineStr">
        <is>
          <t>avverkningsanmälan</t>
        </is>
      </c>
      <c r="C32" t="inlineStr">
        <is>
          <t>Avverkning för att bevara och utveckla /försöksver</t>
        </is>
      </c>
      <c r="D32" s="1" t="n">
        <v>45408</v>
      </c>
      <c r="E32" s="1" t="n">
        <v>46275</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2261-2026</t>
        </is>
      </c>
      <c r="B33" t="inlineStr">
        <is>
          <t>avverkningsanmälan</t>
        </is>
      </c>
      <c r="C33" t="inlineStr">
        <is>
          <t>Föryngringsavverkning</t>
        </is>
      </c>
      <c r="D33" s="1" t="n">
        <v>46036</v>
      </c>
      <c r="E33" s="1" t="n">
        <v>46275</v>
      </c>
      <c r="F33" t="inlineStr">
        <is>
          <t>ÖREBRO LÄN</t>
        </is>
      </c>
      <c r="G33" t="inlineStr">
        <is>
          <t>NORA</t>
        </is>
      </c>
      <c r="I33" t="n">
        <v>0.4</v>
      </c>
      <c r="J33" t="n">
        <v>0</v>
      </c>
      <c r="K33" t="n">
        <v>1</v>
      </c>
      <c r="L33" t="n">
        <v>0</v>
      </c>
      <c r="M33" t="n">
        <v>0</v>
      </c>
      <c r="N33" t="n">
        <v>1</v>
      </c>
      <c r="O33" t="n">
        <v>0</v>
      </c>
      <c r="P33" t="n">
        <v>0</v>
      </c>
      <c r="Q33" t="n">
        <v>1</v>
      </c>
      <c r="R33" t="n">
        <v>1</v>
      </c>
      <c r="S33" t="n">
        <v>2</v>
      </c>
      <c r="T33" t="n">
        <v>2</v>
      </c>
      <c r="U33" t="n">
        <v>0</v>
      </c>
      <c r="V33" s="2" t="inlineStr">
        <is>
          <t>Flodpärlmussla
Stubbspretmossa</t>
        </is>
      </c>
      <c r="W33">
        <f>HYPERLINK("https://klasma.github.io/Logging_1884/artfynd/A 2261-2026 artfynd.xlsx", "A 2261-2026")</f>
        <v/>
      </c>
      <c r="X33">
        <f>HYPERLINK("https://klasma.github.io/Logging_1884/kartor/A 2261-2026 karta.png", "A 2261-2026")</f>
        <v/>
      </c>
      <c r="Y33">
        <f>HYPERLINK("https://klasma.github.io/Logging_1884/kartor_geotiff/A 2261-2026 georefererad karta.tif", "A 2261-2026")</f>
        <v/>
      </c>
      <c r="AA33">
        <f>HYPERLINK("https://klasma.github.io/Logging_1884/klagomål/A 2261-2026 FSC-klagomål.docx", "A 2261-2026")</f>
        <v/>
      </c>
      <c r="AB33">
        <f>HYPERLINK("https://klasma.github.io/Logging_1884/klagomålsmail/A 2261-2026 FSC-klagomål mail.docx", "A 2261-2026")</f>
        <v/>
      </c>
      <c r="AC33">
        <f>HYPERLINK("https://klasma.github.io/Logging_1884/tillsyn/A 2261-2026 tillsynsbegäran.docx", "A 2261-2026")</f>
        <v/>
      </c>
      <c r="AD33">
        <f>HYPERLINK("https://klasma.github.io/Logging_1884/tillsynsmail/A 2261-2026 tillsynsbegäran mail.docx", "A 2261-2026")</f>
        <v/>
      </c>
    </row>
    <row r="34" ht="15" customHeight="1">
      <c r="A34" t="inlineStr">
        <is>
          <t>A 56959-2025</t>
        </is>
      </c>
      <c r="B34" t="inlineStr">
        <is>
          <t>avverkningsanmälan</t>
        </is>
      </c>
      <c r="C34" t="inlineStr">
        <is>
          <t>Föryngringsavverkning</t>
        </is>
      </c>
      <c r="D34" s="1" t="n">
        <v>45978</v>
      </c>
      <c r="E34" s="1" t="n">
        <v>46275</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46275</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16288-2026</t>
        </is>
      </c>
      <c r="B36" t="inlineStr">
        <is>
          <t>avverkningsanmälan</t>
        </is>
      </c>
      <c r="C36" t="inlineStr">
        <is>
          <t>Föryngringsavverkning</t>
        </is>
      </c>
      <c r="D36" s="1" t="n">
        <v>46111</v>
      </c>
      <c r="E36" s="1" t="n">
        <v>46275</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46275</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46275</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46275</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46275</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42049-2023</t>
        </is>
      </c>
      <c r="B41" t="inlineStr">
        <is>
          <t>avverkningsanmälan</t>
        </is>
      </c>
      <c r="C41" t="inlineStr">
        <is>
          <t>Avverkning för att bevara och utveckla /försöksver</t>
        </is>
      </c>
      <c r="D41" s="1" t="n">
        <v>45177</v>
      </c>
      <c r="E41" s="1" t="n">
        <v>46275</v>
      </c>
      <c r="F41" t="inlineStr">
        <is>
          <t>ÖREBRO LÄN</t>
        </is>
      </c>
      <c r="G41" t="inlineStr">
        <is>
          <t>NORA</t>
        </is>
      </c>
      <c r="H41" t="inlineStr">
        <is>
          <t>Sveaskog</t>
        </is>
      </c>
      <c r="I41" t="n">
        <v>0.9</v>
      </c>
      <c r="J41" t="n">
        <v>0</v>
      </c>
      <c r="K41" t="n">
        <v>0</v>
      </c>
      <c r="L41" t="n">
        <v>1</v>
      </c>
      <c r="M41" t="n">
        <v>0</v>
      </c>
      <c r="N41" t="n">
        <v>0</v>
      </c>
      <c r="O41" t="n">
        <v>0</v>
      </c>
      <c r="P41" t="n">
        <v>0</v>
      </c>
      <c r="Q41" t="n">
        <v>1</v>
      </c>
      <c r="R41" t="n">
        <v>0</v>
      </c>
      <c r="S41" t="n">
        <v>1</v>
      </c>
      <c r="T41" t="n">
        <v>1</v>
      </c>
      <c r="U41" t="n">
        <v>1</v>
      </c>
      <c r="V41" s="2" t="inlineStr">
        <is>
          <t>Vitfläckig guldvinge</t>
        </is>
      </c>
      <c r="W41">
        <f>HYPERLINK("https://klasma.github.io/Logging_1884/artfynd/A 42049-2023 artfynd.xlsx", "A 42049-2023")</f>
        <v/>
      </c>
      <c r="X41">
        <f>HYPERLINK("https://klasma.github.io/Logging_1884/kartor/A 42049-2023 karta.png", "A 42049-2023")</f>
        <v/>
      </c>
      <c r="Y41">
        <f>HYPERLINK("https://klasma.github.io/Logging_1884/kartor_geotiff/A 42049-2023 georefererad karta.tif", "A 42049-2023")</f>
        <v/>
      </c>
      <c r="AA41">
        <f>HYPERLINK("https://klasma.github.io/Logging_1884/klagomål/A 42049-2023 FSC-klagomål.docx", "A 42049-2023")</f>
        <v/>
      </c>
      <c r="AB41">
        <f>HYPERLINK("https://klasma.github.io/Logging_1884/klagomålsmail/A 42049-2023 FSC-klagomål mail.docx", "A 42049-2023")</f>
        <v/>
      </c>
      <c r="AC41">
        <f>HYPERLINK("https://klasma.github.io/Logging_1884/tillsyn/A 42049-2023 tillsynsbegäran.docx", "A 42049-2023")</f>
        <v/>
      </c>
      <c r="AD41">
        <f>HYPERLINK("https://klasma.github.io/Logging_1884/tillsynsmail/A 42049-2023 tillsynsbegäran mail.docx", "A 42049-2023")</f>
        <v/>
      </c>
    </row>
    <row r="42" ht="15" customHeight="1">
      <c r="A42" t="inlineStr">
        <is>
          <t>A 16063-2023</t>
        </is>
      </c>
      <c r="B42" t="inlineStr">
        <is>
          <t>avverkningsanmälan</t>
        </is>
      </c>
      <c r="C42" t="inlineStr">
        <is>
          <t>Föryngringsavverkning</t>
        </is>
      </c>
      <c r="D42" s="1" t="n">
        <v>45027</v>
      </c>
      <c r="E42" s="1" t="n">
        <v>46275</v>
      </c>
      <c r="F42" t="inlineStr">
        <is>
          <t>ÖREBRO LÄN</t>
        </is>
      </c>
      <c r="G42" t="inlineStr">
        <is>
          <t>NORA</t>
        </is>
      </c>
      <c r="I42" t="n">
        <v>7.3</v>
      </c>
      <c r="J42" t="n">
        <v>0</v>
      </c>
      <c r="K42" t="n">
        <v>0</v>
      </c>
      <c r="L42" t="n">
        <v>0</v>
      </c>
      <c r="M42" t="n">
        <v>1</v>
      </c>
      <c r="N42" t="n">
        <v>0</v>
      </c>
      <c r="O42" t="n">
        <v>0</v>
      </c>
      <c r="P42" t="n">
        <v>0</v>
      </c>
      <c r="Q42" t="n">
        <v>1</v>
      </c>
      <c r="R42" t="n">
        <v>1</v>
      </c>
      <c r="S42" t="n">
        <v>1</v>
      </c>
      <c r="T42" t="n">
        <v>1</v>
      </c>
      <c r="U42" t="n">
        <v>1</v>
      </c>
      <c r="V42" s="2" t="inlineStr">
        <is>
          <t>Violettkantad guldvinge</t>
        </is>
      </c>
      <c r="W42">
        <f>HYPERLINK("https://klasma.github.io/Logging_1884/artfynd/A 16063-2023 artfynd.xlsx", "A 16063-2023")</f>
        <v/>
      </c>
      <c r="X42">
        <f>HYPERLINK("https://klasma.github.io/Logging_1884/kartor/A 16063-2023 karta.png", "A 16063-2023")</f>
        <v/>
      </c>
      <c r="Y42">
        <f>HYPERLINK("https://klasma.github.io/Logging_1884/kartor_geotiff/A 16063-2023 georefererad karta.tif", "A 16063-2023")</f>
        <v/>
      </c>
      <c r="AA42">
        <f>HYPERLINK("https://klasma.github.io/Logging_1884/klagomål/A 16063-2023 FSC-klagomål.docx", "A 16063-2023")</f>
        <v/>
      </c>
      <c r="AB42">
        <f>HYPERLINK("https://klasma.github.io/Logging_1884/klagomålsmail/A 16063-2023 FSC-klagomål mail.docx", "A 16063-2023")</f>
        <v/>
      </c>
      <c r="AC42">
        <f>HYPERLINK("https://klasma.github.io/Logging_1884/tillsyn/A 16063-2023 tillsynsbegäran.docx", "A 16063-2023")</f>
        <v/>
      </c>
      <c r="AD42">
        <f>HYPERLINK("https://klasma.github.io/Logging_1884/tillsynsmail/A 16063-2023 tillsynsbegäran mail.docx", "A 16063-2023")</f>
        <v/>
      </c>
    </row>
    <row r="43" ht="15" customHeight="1">
      <c r="A43" t="inlineStr">
        <is>
          <t>A 25723-2023</t>
        </is>
      </c>
      <c r="B43" t="inlineStr">
        <is>
          <t>avverkningsanmälan</t>
        </is>
      </c>
      <c r="C43" t="inlineStr">
        <is>
          <t>Föryngringsavverkning</t>
        </is>
      </c>
      <c r="D43" s="1" t="n">
        <v>45090</v>
      </c>
      <c r="E43" s="1" t="n">
        <v>46275</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15327-2024</t>
        </is>
      </c>
      <c r="B44" t="inlineStr">
        <is>
          <t>avverkningsanmälan</t>
        </is>
      </c>
      <c r="C44" t="inlineStr">
        <is>
          <t>Föryngringsavverkning</t>
        </is>
      </c>
      <c r="D44" s="1" t="n">
        <v>45400</v>
      </c>
      <c r="E44" s="1" t="n">
        <v>46275</v>
      </c>
      <c r="F44" t="inlineStr">
        <is>
          <t>ÖREBRO LÄN</t>
        </is>
      </c>
      <c r="G44" t="inlineStr">
        <is>
          <t>NORA</t>
        </is>
      </c>
      <c r="I44" t="n">
        <v>3.5</v>
      </c>
      <c r="J44" t="n">
        <v>0</v>
      </c>
      <c r="K44" t="n">
        <v>0</v>
      </c>
      <c r="L44" t="n">
        <v>1</v>
      </c>
      <c r="M44" t="n">
        <v>0</v>
      </c>
      <c r="N44" t="n">
        <v>0</v>
      </c>
      <c r="O44" t="n">
        <v>0</v>
      </c>
      <c r="P44" t="n">
        <v>0</v>
      </c>
      <c r="Q44" t="n">
        <v>1</v>
      </c>
      <c r="R44" t="n">
        <v>0</v>
      </c>
      <c r="S44" t="n">
        <v>1</v>
      </c>
      <c r="T44" t="n">
        <v>1</v>
      </c>
      <c r="U44" t="n">
        <v>0</v>
      </c>
      <c r="V44" s="2" t="inlineStr">
        <is>
          <t>Violettgrå tagellav</t>
        </is>
      </c>
      <c r="W44">
        <f>HYPERLINK("https://klasma.github.io/Logging_1884/artfynd/A 15327-2024 artfynd.xlsx", "A 15327-2024")</f>
        <v/>
      </c>
      <c r="X44">
        <f>HYPERLINK("https://klasma.github.io/Logging_1884/kartor/A 15327-2024 karta.png", "A 15327-2024")</f>
        <v/>
      </c>
      <c r="Y44">
        <f>HYPERLINK("https://klasma.github.io/Logging_1884/kartor_geotiff/A 15327-2024 georefererad karta.tif", "A 15327-2024")</f>
        <v/>
      </c>
      <c r="AA44">
        <f>HYPERLINK("https://klasma.github.io/Logging_1884/klagomål/A 15327-2024 FSC-klagomål.docx", "A 15327-2024")</f>
        <v/>
      </c>
      <c r="AB44">
        <f>HYPERLINK("https://klasma.github.io/Logging_1884/klagomålsmail/A 15327-2024 FSC-klagomål mail.docx", "A 15327-2024")</f>
        <v/>
      </c>
      <c r="AC44">
        <f>HYPERLINK("https://klasma.github.io/Logging_1884/tillsyn/A 15327-2024 tillsynsbegäran.docx", "A 15327-2024")</f>
        <v/>
      </c>
      <c r="AD44">
        <f>HYPERLINK("https://klasma.github.io/Logging_1884/tillsynsmail/A 15327-2024 tillsynsbegäran mail.docx", "A 15327-2024")</f>
        <v/>
      </c>
    </row>
    <row r="45" ht="15" customHeight="1">
      <c r="A45" t="inlineStr">
        <is>
          <t>A 52639-2023</t>
        </is>
      </c>
      <c r="B45" t="inlineStr">
        <is>
          <t>avverkningsanmälan</t>
        </is>
      </c>
      <c r="C45" t="inlineStr">
        <is>
          <t>Föryngringsavverkning</t>
        </is>
      </c>
      <c r="D45" s="1" t="n">
        <v>45219</v>
      </c>
      <c r="E45" s="1" t="n">
        <v>46275</v>
      </c>
      <c r="F45" t="inlineStr">
        <is>
          <t>ÖREBRO LÄN</t>
        </is>
      </c>
      <c r="G45" t="inlineStr">
        <is>
          <t>NORA</t>
        </is>
      </c>
      <c r="H45" t="inlineStr">
        <is>
          <t>Kommuner</t>
        </is>
      </c>
      <c r="I45" t="n">
        <v>7.3</v>
      </c>
      <c r="J45" t="n">
        <v>1</v>
      </c>
      <c r="K45" t="n">
        <v>0</v>
      </c>
      <c r="L45" t="n">
        <v>1</v>
      </c>
      <c r="M45" t="n">
        <v>0</v>
      </c>
      <c r="N45" t="n">
        <v>0</v>
      </c>
      <c r="O45" t="n">
        <v>0</v>
      </c>
      <c r="P45" t="n">
        <v>0</v>
      </c>
      <c r="Q45" t="n">
        <v>1</v>
      </c>
      <c r="R45" t="n">
        <v>0</v>
      </c>
      <c r="S45" t="n">
        <v>1</v>
      </c>
      <c r="T45" t="n">
        <v>1</v>
      </c>
      <c r="U45" t="n">
        <v>1</v>
      </c>
      <c r="V45" s="2" t="inlineStr">
        <is>
          <t>Grönsångare</t>
        </is>
      </c>
      <c r="W45">
        <f>HYPERLINK("https://klasma.github.io/Logging_1884/artfynd/A 52639-2023 artfynd.xlsx", "A 52639-2023")</f>
        <v/>
      </c>
      <c r="X45">
        <f>HYPERLINK("https://klasma.github.io/Logging_1884/kartor/A 52639-2023 karta.png", "A 52639-2023")</f>
        <v/>
      </c>
      <c r="Y45">
        <f>HYPERLINK("https://klasma.github.io/Logging_1884/kartor_geotiff/A 52639-2023 georefererad karta.tif", "A 52639-2023")</f>
        <v/>
      </c>
      <c r="AA45">
        <f>HYPERLINK("https://klasma.github.io/Logging_1884/klagomål/A 52639-2023 FSC-klagomål.docx", "A 52639-2023")</f>
        <v/>
      </c>
      <c r="AB45">
        <f>HYPERLINK("https://klasma.github.io/Logging_1884/klagomålsmail/A 52639-2023 FSC-klagomål mail.docx", "A 52639-2023")</f>
        <v/>
      </c>
      <c r="AC45">
        <f>HYPERLINK("https://klasma.github.io/Logging_1884/tillsyn/A 52639-2023 tillsynsbegäran.docx", "A 52639-2023")</f>
        <v/>
      </c>
      <c r="AD45">
        <f>HYPERLINK("https://klasma.github.io/Logging_1884/tillsynsmail/A 52639-2023 tillsynsbegäran mail.docx", "A 52639-2023")</f>
        <v/>
      </c>
      <c r="AE45">
        <f>HYPERLINK("https://klasma.github.io/Logging_1884/fåglar/A 52639-2023 prioriterade fågelarter.docx", "A 52639-2023")</f>
        <v/>
      </c>
    </row>
    <row r="46" ht="15" customHeight="1">
      <c r="A46" t="inlineStr">
        <is>
          <t>A 20565-2025</t>
        </is>
      </c>
      <c r="B46" t="inlineStr">
        <is>
          <t>avverkningsanmälan</t>
        </is>
      </c>
      <c r="C46" t="inlineStr">
        <is>
          <t>Avverkning för att bevara och utveckla /försöksver</t>
        </is>
      </c>
      <c r="D46" s="1" t="n">
        <v>45775</v>
      </c>
      <c r="E46" s="1" t="n">
        <v>46275</v>
      </c>
      <c r="F46" t="inlineStr">
        <is>
          <t>ÖREBRO LÄN</t>
        </is>
      </c>
      <c r="G46" t="inlineStr">
        <is>
          <t>NORA</t>
        </is>
      </c>
      <c r="H46" t="inlineStr">
        <is>
          <t>Sveaskog</t>
        </is>
      </c>
      <c r="I46" t="n">
        <v>0.7</v>
      </c>
      <c r="J46" t="n">
        <v>0</v>
      </c>
      <c r="K46" t="n">
        <v>0</v>
      </c>
      <c r="L46" t="n">
        <v>1</v>
      </c>
      <c r="M46" t="n">
        <v>0</v>
      </c>
      <c r="N46" t="n">
        <v>0</v>
      </c>
      <c r="O46" t="n">
        <v>0</v>
      </c>
      <c r="P46" t="n">
        <v>0</v>
      </c>
      <c r="Q46" t="n">
        <v>1</v>
      </c>
      <c r="R46" t="n">
        <v>0</v>
      </c>
      <c r="S46" t="n">
        <v>1</v>
      </c>
      <c r="T46" t="n">
        <v>1</v>
      </c>
      <c r="U46" t="n">
        <v>1</v>
      </c>
      <c r="V46" s="2" t="inlineStr">
        <is>
          <t>Jungfrulin</t>
        </is>
      </c>
      <c r="W46">
        <f>HYPERLINK("https://klasma.github.io/Logging_1884/artfynd/A 20565-2025 artfynd.xlsx", "A 20565-2025")</f>
        <v/>
      </c>
      <c r="X46">
        <f>HYPERLINK("https://klasma.github.io/Logging_1884/kartor/A 20565-2025 karta.png", "A 20565-2025")</f>
        <v/>
      </c>
      <c r="Y46">
        <f>HYPERLINK("https://klasma.github.io/Logging_1884/kartor_geotiff/A 20565-2025 georefererad karta.tif", "A 20565-2025")</f>
        <v/>
      </c>
      <c r="AA46">
        <f>HYPERLINK("https://klasma.github.io/Logging_1884/klagomål/A 20565-2025 FSC-klagomål.docx", "A 20565-2025")</f>
        <v/>
      </c>
      <c r="AB46">
        <f>HYPERLINK("https://klasma.github.io/Logging_1884/klagomålsmail/A 20565-2025 FSC-klagomål mail.docx", "A 20565-2025")</f>
        <v/>
      </c>
      <c r="AC46">
        <f>HYPERLINK("https://klasma.github.io/Logging_1884/tillsyn/A 20565-2025 tillsynsbegäran.docx", "A 20565-2025")</f>
        <v/>
      </c>
      <c r="AD46">
        <f>HYPERLINK("https://klasma.github.io/Logging_1884/tillsynsmail/A 20565-2025 tillsynsbegäran mail.docx", "A 20565-2025")</f>
        <v/>
      </c>
    </row>
    <row r="47" ht="15" customHeight="1">
      <c r="A47" t="inlineStr">
        <is>
          <t>A 53129-2023</t>
        </is>
      </c>
      <c r="B47" t="inlineStr">
        <is>
          <t>avverkningsanmälan</t>
        </is>
      </c>
      <c r="C47" t="inlineStr">
        <is>
          <t>Föryngringsavverkning</t>
        </is>
      </c>
      <c r="D47" s="1" t="n">
        <v>45229</v>
      </c>
      <c r="E47" s="1" t="n">
        <v>46275</v>
      </c>
      <c r="F47" t="inlineStr">
        <is>
          <t>ÖREBRO LÄN</t>
        </is>
      </c>
      <c r="G47" t="inlineStr">
        <is>
          <t>NORA</t>
        </is>
      </c>
      <c r="I47" t="n">
        <v>7</v>
      </c>
      <c r="J47" t="n">
        <v>0</v>
      </c>
      <c r="K47" t="n">
        <v>0</v>
      </c>
      <c r="L47" t="n">
        <v>1</v>
      </c>
      <c r="M47" t="n">
        <v>0</v>
      </c>
      <c r="N47" t="n">
        <v>0</v>
      </c>
      <c r="O47" t="n">
        <v>0</v>
      </c>
      <c r="P47" t="n">
        <v>0</v>
      </c>
      <c r="Q47" t="n">
        <v>1</v>
      </c>
      <c r="R47" t="n">
        <v>0</v>
      </c>
      <c r="S47" t="n">
        <v>1</v>
      </c>
      <c r="T47" t="n">
        <v>1</v>
      </c>
      <c r="U47" t="n">
        <v>0</v>
      </c>
      <c r="V47" s="2" t="inlineStr">
        <is>
          <t>Skogstrappmossa</t>
        </is>
      </c>
      <c r="W47">
        <f>HYPERLINK("https://klasma.github.io/Logging_1884/artfynd/A 53129-2023 artfynd.xlsx", "A 53129-2023")</f>
        <v/>
      </c>
      <c r="X47">
        <f>HYPERLINK("https://klasma.github.io/Logging_1884/kartor/A 53129-2023 karta.png", "A 53129-2023")</f>
        <v/>
      </c>
      <c r="Y47">
        <f>HYPERLINK("https://klasma.github.io/Logging_1884/kartor_geotiff/A 53129-2023 georefererad karta.tif", "A 53129-2023")</f>
        <v/>
      </c>
      <c r="AA47">
        <f>HYPERLINK("https://klasma.github.io/Logging_1884/klagomål/A 53129-2023 FSC-klagomål.docx", "A 53129-2023")</f>
        <v/>
      </c>
      <c r="AB47">
        <f>HYPERLINK("https://klasma.github.io/Logging_1884/klagomålsmail/A 53129-2023 FSC-klagomål mail.docx", "A 53129-2023")</f>
        <v/>
      </c>
      <c r="AC47">
        <f>HYPERLINK("https://klasma.github.io/Logging_1884/tillsyn/A 53129-2023 tillsynsbegäran.docx", "A 53129-2023")</f>
        <v/>
      </c>
      <c r="AD47">
        <f>HYPERLINK("https://klasma.github.io/Logging_1884/tillsynsmail/A 53129-2023 tillsynsbegäran mail.docx", "A 53129-2023")</f>
        <v/>
      </c>
    </row>
    <row r="48" ht="15" customHeight="1">
      <c r="A48" t="inlineStr">
        <is>
          <t>A 14477-2025</t>
        </is>
      </c>
      <c r="B48" t="inlineStr">
        <is>
          <t>avverkningsanmälan</t>
        </is>
      </c>
      <c r="C48" t="inlineStr">
        <is>
          <t>Avverkning för att bevara och utveckla /försöksver</t>
        </is>
      </c>
      <c r="D48" s="1" t="n">
        <v>45741</v>
      </c>
      <c r="E48" s="1" t="n">
        <v>46275</v>
      </c>
      <c r="F48" t="inlineStr">
        <is>
          <t>ÖREBRO LÄN</t>
        </is>
      </c>
      <c r="G48" t="inlineStr">
        <is>
          <t>NORA</t>
        </is>
      </c>
      <c r="H48" t="inlineStr">
        <is>
          <t>Sveaskog</t>
        </is>
      </c>
      <c r="I48" t="n">
        <v>1.1</v>
      </c>
      <c r="J48" t="n">
        <v>1</v>
      </c>
      <c r="K48" t="n">
        <v>0</v>
      </c>
      <c r="L48" t="n">
        <v>0</v>
      </c>
      <c r="M48" t="n">
        <v>0</v>
      </c>
      <c r="N48" t="n">
        <v>1</v>
      </c>
      <c r="O48" t="n">
        <v>0</v>
      </c>
      <c r="P48" t="n">
        <v>0</v>
      </c>
      <c r="Q48" t="n">
        <v>1</v>
      </c>
      <c r="R48" t="n">
        <v>1</v>
      </c>
      <c r="S48" t="n">
        <v>1</v>
      </c>
      <c r="T48" t="n">
        <v>1</v>
      </c>
      <c r="U48" t="n">
        <v>0</v>
      </c>
      <c r="V48" s="2" t="inlineStr">
        <is>
          <t>Kattmynta</t>
        </is>
      </c>
      <c r="W48">
        <f>HYPERLINK("https://klasma.github.io/Logging_1884/artfynd/A 14477-2025 artfynd.xlsx", "A 14477-2025")</f>
        <v/>
      </c>
      <c r="X48">
        <f>HYPERLINK("https://klasma.github.io/Logging_1884/kartor/A 14477-2025 karta.png", "A 14477-2025")</f>
        <v/>
      </c>
      <c r="Y48">
        <f>HYPERLINK("https://klasma.github.io/Logging_1884/kartor_geotiff/A 14477-2025 georefererad karta.tif", "A 14477-2025")</f>
        <v/>
      </c>
      <c r="AA48">
        <f>HYPERLINK("https://klasma.github.io/Logging_1884/klagomål/A 14477-2025 FSC-klagomål.docx", "A 14477-2025")</f>
        <v/>
      </c>
      <c r="AB48">
        <f>HYPERLINK("https://klasma.github.io/Logging_1884/klagomålsmail/A 14477-2025 FSC-klagomål mail.docx", "A 14477-2025")</f>
        <v/>
      </c>
      <c r="AC48">
        <f>HYPERLINK("https://klasma.github.io/Logging_1884/tillsyn/A 14477-2025 tillsynsbegäran.docx", "A 14477-2025")</f>
        <v/>
      </c>
      <c r="AD48">
        <f>HYPERLINK("https://klasma.github.io/Logging_1884/tillsynsmail/A 14477-2025 tillsynsbegäran mail.docx", "A 14477-2025")</f>
        <v/>
      </c>
    </row>
    <row r="49" ht="15" customHeight="1">
      <c r="A49" t="inlineStr">
        <is>
          <t>A 14482-2025</t>
        </is>
      </c>
      <c r="B49" t="inlineStr">
        <is>
          <t>avverkningsanmälan</t>
        </is>
      </c>
      <c r="C49" t="inlineStr">
        <is>
          <t>Avverkning för att bevara och utveckla /försöksver</t>
        </is>
      </c>
      <c r="D49" s="1" t="n">
        <v>45741</v>
      </c>
      <c r="E49" s="1" t="n">
        <v>46275</v>
      </c>
      <c r="F49" t="inlineStr">
        <is>
          <t>ÖREBRO LÄN</t>
        </is>
      </c>
      <c r="G49" t="inlineStr">
        <is>
          <t>NORA</t>
        </is>
      </c>
      <c r="H49" t="inlineStr">
        <is>
          <t>Sveaskog</t>
        </is>
      </c>
      <c r="I49" t="n">
        <v>1.4</v>
      </c>
      <c r="J49" t="n">
        <v>0</v>
      </c>
      <c r="K49" t="n">
        <v>0</v>
      </c>
      <c r="L49" t="n">
        <v>0</v>
      </c>
      <c r="M49" t="n">
        <v>0</v>
      </c>
      <c r="N49" t="n">
        <v>1</v>
      </c>
      <c r="O49" t="n">
        <v>0</v>
      </c>
      <c r="P49" t="n">
        <v>0</v>
      </c>
      <c r="Q49" t="n">
        <v>1</v>
      </c>
      <c r="R49" t="n">
        <v>1</v>
      </c>
      <c r="S49" t="n">
        <v>1</v>
      </c>
      <c r="T49" t="n">
        <v>1</v>
      </c>
      <c r="U49" t="n">
        <v>1</v>
      </c>
      <c r="V49" s="2" t="inlineStr">
        <is>
          <t>Flodpärlmussla</t>
        </is>
      </c>
      <c r="W49">
        <f>HYPERLINK("https://klasma.github.io/Logging_1884/artfynd/A 14482-2025 artfynd.xlsx", "A 14482-2025")</f>
        <v/>
      </c>
      <c r="X49">
        <f>HYPERLINK("https://klasma.github.io/Logging_1884/kartor/A 14482-2025 karta.png", "A 14482-2025")</f>
        <v/>
      </c>
      <c r="Y49">
        <f>HYPERLINK("https://klasma.github.io/Logging_1884/kartor_geotiff/A 14482-2025 georefererad karta.tif", "A 14482-2025")</f>
        <v/>
      </c>
      <c r="AA49">
        <f>HYPERLINK("https://klasma.github.io/Logging_1884/klagomål/A 14482-2025 FSC-klagomål.docx", "A 14482-2025")</f>
        <v/>
      </c>
      <c r="AB49">
        <f>HYPERLINK("https://klasma.github.io/Logging_1884/klagomålsmail/A 14482-2025 FSC-klagomål mail.docx", "A 14482-2025")</f>
        <v/>
      </c>
      <c r="AC49">
        <f>HYPERLINK("https://klasma.github.io/Logging_1884/tillsyn/A 14482-2025 tillsynsbegäran.docx", "A 14482-2025")</f>
        <v/>
      </c>
      <c r="AD49">
        <f>HYPERLINK("https://klasma.github.io/Logging_1884/tillsynsmail/A 14482-2025 tillsynsbegäran mail.docx", "A 14482-2025")</f>
        <v/>
      </c>
    </row>
    <row r="50" ht="15" customHeight="1">
      <c r="A50" t="inlineStr">
        <is>
          <t>A 48775-2025</t>
        </is>
      </c>
      <c r="B50" t="inlineStr">
        <is>
          <t>avverkningsanmälan</t>
        </is>
      </c>
      <c r="C50" t="inlineStr">
        <is>
          <t>Föryngringsavverkning</t>
        </is>
      </c>
      <c r="D50" s="1" t="n">
        <v>45937</v>
      </c>
      <c r="E50" s="1" t="n">
        <v>46275</v>
      </c>
      <c r="F50" t="inlineStr">
        <is>
          <t>ÖREBRO LÄN</t>
        </is>
      </c>
      <c r="G50" t="inlineStr">
        <is>
          <t>NORA</t>
        </is>
      </c>
      <c r="I50" t="n">
        <v>1.7</v>
      </c>
      <c r="J50" t="n">
        <v>0</v>
      </c>
      <c r="K50" t="n">
        <v>1</v>
      </c>
      <c r="L50" t="n">
        <v>0</v>
      </c>
      <c r="M50" t="n">
        <v>0</v>
      </c>
      <c r="N50" t="n">
        <v>0</v>
      </c>
      <c r="O50" t="n">
        <v>0</v>
      </c>
      <c r="P50" t="n">
        <v>0</v>
      </c>
      <c r="Q50" t="n">
        <v>0</v>
      </c>
      <c r="R50" t="n">
        <v>0</v>
      </c>
      <c r="S50" t="n">
        <v>1</v>
      </c>
      <c r="T50" t="n">
        <v>1</v>
      </c>
      <c r="U50" t="n">
        <v>0</v>
      </c>
      <c r="V50" s="2" t="inlineStr">
        <is>
          <t>Tibast</t>
        </is>
      </c>
      <c r="W50">
        <f>HYPERLINK("https://klasma.github.io/Logging_1884/artfynd/A 48775-2025 artfynd.xlsx", "A 48775-2025")</f>
        <v/>
      </c>
      <c r="X50">
        <f>HYPERLINK("https://klasma.github.io/Logging_1884/kartor/A 48775-2025 karta.png", "A 48775-2025")</f>
        <v/>
      </c>
      <c r="Y50">
        <f>HYPERLINK("https://klasma.github.io/Logging_1884/kartor_geotiff/A 48775-2025 georefererad karta.tif", "A 48775-2025")</f>
        <v/>
      </c>
      <c r="AA50">
        <f>HYPERLINK("https://klasma.github.io/Logging_1884/klagomål/A 48775-2025 FSC-klagomål.docx", "A 48775-2025")</f>
        <v/>
      </c>
      <c r="AB50">
        <f>HYPERLINK("https://klasma.github.io/Logging_1884/klagomålsmail/A 48775-2025 FSC-klagomål mail.docx", "A 48775-2025")</f>
        <v/>
      </c>
      <c r="AC50">
        <f>HYPERLINK("https://klasma.github.io/Logging_1884/tillsyn/A 48775-2025 tillsynsbegäran.docx", "A 48775-2025")</f>
        <v/>
      </c>
      <c r="AD50">
        <f>HYPERLINK("https://klasma.github.io/Logging_1884/tillsynsmail/A 48775-2025 tillsynsbegäran mail.docx", "A 48775-2025")</f>
        <v/>
      </c>
    </row>
    <row r="51" ht="15" customHeight="1">
      <c r="A51" t="inlineStr">
        <is>
          <t>A 31957-2024</t>
        </is>
      </c>
      <c r="B51" t="inlineStr">
        <is>
          <t>avverkningsanmälan</t>
        </is>
      </c>
      <c r="C51" t="inlineStr">
        <is>
          <t>Föryngringsavverkning</t>
        </is>
      </c>
      <c r="D51" s="1" t="n">
        <v>45510</v>
      </c>
      <c r="E51" s="1" t="n">
        <v>46275</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36089-2025</t>
        </is>
      </c>
      <c r="B52" t="inlineStr">
        <is>
          <t>avverkningsanmälan</t>
        </is>
      </c>
      <c r="C52" t="inlineStr">
        <is>
          <t>Föryngringsavverkning</t>
        </is>
      </c>
      <c r="D52" s="1" t="n">
        <v>45866</v>
      </c>
      <c r="E52" s="1" t="n">
        <v>46275</v>
      </c>
      <c r="F52" t="inlineStr">
        <is>
          <t>ÖREBRO LÄN</t>
        </is>
      </c>
      <c r="G52" t="inlineStr">
        <is>
          <t>NORA</t>
        </is>
      </c>
      <c r="I52" t="n">
        <v>1.9</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HYPERLINK("https://klasma.github.io/Logging_1884/artfynd/A 36089-2025 artfynd.xlsx", "A 36089-2025")</f>
        <v/>
      </c>
      <c r="X52">
        <f>HYPERLINK("https://klasma.github.io/Logging_1884/kartor/A 36089-2025 karta.png", "A 36089-2025")</f>
        <v/>
      </c>
      <c r="Y52">
        <f>HYPERLINK("https://klasma.github.io/Logging_1884/kartor_geotiff/A 36089-2025 georefererad karta.tif", "A 36089-2025")</f>
        <v/>
      </c>
      <c r="AA52">
        <f>HYPERLINK("https://klasma.github.io/Logging_1884/klagomål/A 36089-2025 FSC-klagomål.docx", "A 36089-2025")</f>
        <v/>
      </c>
      <c r="AB52">
        <f>HYPERLINK("https://klasma.github.io/Logging_1884/klagomålsmail/A 36089-2025 FSC-klagomål mail.docx", "A 36089-2025")</f>
        <v/>
      </c>
      <c r="AC52">
        <f>HYPERLINK("https://klasma.github.io/Logging_1884/tillsyn/A 36089-2025 tillsynsbegäran.docx", "A 36089-2025")</f>
        <v/>
      </c>
      <c r="AD52">
        <f>HYPERLINK("https://klasma.github.io/Logging_1884/tillsynsmail/A 36089-2025 tillsynsbegäran mail.docx", "A 36089-2025")</f>
        <v/>
      </c>
    </row>
    <row r="53" ht="15" customHeight="1">
      <c r="A53" t="inlineStr">
        <is>
          <t>A 30586-2026</t>
        </is>
      </c>
      <c r="B53" t="inlineStr">
        <is>
          <t>avverkningsanmälan</t>
        </is>
      </c>
      <c r="C53" t="inlineStr">
        <is>
          <t>Föryngringsavverkning</t>
        </is>
      </c>
      <c r="D53" s="1" t="n">
        <v>46210</v>
      </c>
      <c r="E53" s="1" t="n">
        <v>46275</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S 1363-2025</t>
        </is>
      </c>
      <c r="B54" t="inlineStr">
        <is>
          <t>samrådsanmälan</t>
        </is>
      </c>
      <c r="C54" t="inlineStr">
        <is>
          <t>Annan skogsbruksåtgärd</t>
        </is>
      </c>
      <c r="D54" s="1" t="n">
        <v>45775</v>
      </c>
      <c r="E54" s="1" t="n">
        <v>46275</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46275</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46275</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35673-2022</t>
        </is>
      </c>
      <c r="B57" t="inlineStr">
        <is>
          <t>avverkningsanmälan</t>
        </is>
      </c>
      <c r="C57" t="inlineStr">
        <is>
          <t>Föryngringsavverkning</t>
        </is>
      </c>
      <c r="D57" s="1" t="n">
        <v>44799</v>
      </c>
      <c r="E57" s="1" t="n">
        <v>46275</v>
      </c>
      <c r="F57" t="inlineStr">
        <is>
          <t>ÖREBRO LÄN</t>
        </is>
      </c>
      <c r="G57" t="inlineStr">
        <is>
          <t>NORA</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46275</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46275</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46275</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46275</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46275</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46275</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34193-2022</t>
        </is>
      </c>
      <c r="B64" t="inlineStr">
        <is>
          <t>avverkningsanmälan</t>
        </is>
      </c>
      <c r="C64" t="inlineStr">
        <is>
          <t>Föryngringsavverkning</t>
        </is>
      </c>
      <c r="D64" s="1" t="n">
        <v>44791</v>
      </c>
      <c r="E64" s="1" t="n">
        <v>46275</v>
      </c>
      <c r="F64" t="inlineStr">
        <is>
          <t>ÖREBRO LÄN</t>
        </is>
      </c>
      <c r="G64" t="inlineStr">
        <is>
          <t>NORA</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46275</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46275</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59590-2021</t>
        </is>
      </c>
      <c r="B67" t="inlineStr">
        <is>
          <t>avverkningsanmälan</t>
        </is>
      </c>
      <c r="C67" t="inlineStr">
        <is>
          <t>Föryngringsavverkning</t>
        </is>
      </c>
      <c r="D67" s="1" t="n">
        <v>44491</v>
      </c>
      <c r="E67" s="1" t="n">
        <v>46275</v>
      </c>
      <c r="F67" t="inlineStr">
        <is>
          <t>ÖREBRO LÄN</t>
        </is>
      </c>
      <c r="G67" t="inlineStr">
        <is>
          <t>NORA</t>
        </is>
      </c>
      <c r="H67" t="inlineStr">
        <is>
          <t>Kyrkan</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46275</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46275</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46275</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35731-2022</t>
        </is>
      </c>
      <c r="B71" t="inlineStr">
        <is>
          <t>avverkningsanmälan</t>
        </is>
      </c>
      <c r="C71" t="inlineStr">
        <is>
          <t>Föryngringsavverkning</t>
        </is>
      </c>
      <c r="D71" s="1" t="n">
        <v>44799</v>
      </c>
      <c r="E71" s="1" t="n">
        <v>46275</v>
      </c>
      <c r="F71" t="inlineStr">
        <is>
          <t>ÖREBRO LÄN</t>
        </is>
      </c>
      <c r="G71" t="inlineStr">
        <is>
          <t>NORA</t>
        </is>
      </c>
      <c r="H71" t="inlineStr">
        <is>
          <t>Sveaskog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46275</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49135-2021</t>
        </is>
      </c>
      <c r="B73" t="inlineStr">
        <is>
          <t>avverkningsanmälan</t>
        </is>
      </c>
      <c r="C73" t="inlineStr">
        <is>
          <t>Föryngringsavverkning</t>
        </is>
      </c>
      <c r="D73" s="1" t="n">
        <v>44453</v>
      </c>
      <c r="E73" s="1" t="n">
        <v>46275</v>
      </c>
      <c r="F73" t="inlineStr">
        <is>
          <t>ÖREBRO LÄN</t>
        </is>
      </c>
      <c r="G73" t="inlineStr">
        <is>
          <t>NORA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46275</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34206-2022</t>
        </is>
      </c>
      <c r="B75" t="inlineStr">
        <is>
          <t>avverkningsanmälan</t>
        </is>
      </c>
      <c r="C75" t="inlineStr">
        <is>
          <t>Föryngringsavverkning</t>
        </is>
      </c>
      <c r="D75" s="1" t="n">
        <v>44791</v>
      </c>
      <c r="E75" s="1" t="n">
        <v>46275</v>
      </c>
      <c r="F75" t="inlineStr">
        <is>
          <t>ÖREBRO LÄN</t>
        </is>
      </c>
      <c r="G75" t="inlineStr">
        <is>
          <t>NORA</t>
        </is>
      </c>
      <c r="H75" t="inlineStr">
        <is>
          <t>Sveaskog</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17716-2025</t>
        </is>
      </c>
      <c r="B76" t="inlineStr">
        <is>
          <t>avverkningsanmälan</t>
        </is>
      </c>
      <c r="C76" t="inlineStr">
        <is>
          <t>Föryngringsavverkning</t>
        </is>
      </c>
      <c r="D76" s="1" t="n">
        <v>45758</v>
      </c>
      <c r="E76" s="1" t="n">
        <v>46275</v>
      </c>
      <c r="F76" t="inlineStr">
        <is>
          <t>ÖREBRO LÄN</t>
        </is>
      </c>
      <c r="G76" t="inlineStr">
        <is>
          <t>NORA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43535-2023</t>
        </is>
      </c>
      <c r="B77" t="inlineStr">
        <is>
          <t>avverkningsanmälan</t>
        </is>
      </c>
      <c r="C77" t="inlineStr">
        <is>
          <t>Föryngringsavverkning</t>
        </is>
      </c>
      <c r="D77" s="1" t="n">
        <v>45184</v>
      </c>
      <c r="E77" s="1" t="n">
        <v>46275</v>
      </c>
      <c r="F77" t="inlineStr">
        <is>
          <t>ÖREBRO LÄN</t>
        </is>
      </c>
      <c r="G77" t="inlineStr">
        <is>
          <t>NORA</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35659-2023</t>
        </is>
      </c>
      <c r="B78" t="inlineStr">
        <is>
          <t>avverkningsanmälan</t>
        </is>
      </c>
      <c r="C78" t="inlineStr">
        <is>
          <t>Föryngringsavverkning</t>
        </is>
      </c>
      <c r="D78" s="1" t="n">
        <v>45147</v>
      </c>
      <c r="E78" s="1" t="n">
        <v>46275</v>
      </c>
      <c r="F78" t="inlineStr">
        <is>
          <t>ÖREBRO LÄN</t>
        </is>
      </c>
      <c r="G78" t="inlineStr">
        <is>
          <t>NORA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4910-2023</t>
        </is>
      </c>
      <c r="B79" t="inlineStr">
        <is>
          <t>avverkningsanmälan</t>
        </is>
      </c>
      <c r="C79" t="inlineStr">
        <is>
          <t>Föryngringsavverkning</t>
        </is>
      </c>
      <c r="D79" s="1" t="n">
        <v>44958</v>
      </c>
      <c r="E79" s="1" t="n">
        <v>46275</v>
      </c>
      <c r="F79" t="inlineStr">
        <is>
          <t>ÖREBRO LÄN</t>
        </is>
      </c>
      <c r="G79" t="inlineStr">
        <is>
          <t>NORA</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34026-2022</t>
        </is>
      </c>
      <c r="B80" t="inlineStr">
        <is>
          <t>avverkningsanmälan</t>
        </is>
      </c>
      <c r="C80" t="inlineStr">
        <is>
          <t>Föryngringsavverkning</t>
        </is>
      </c>
      <c r="D80" s="1" t="n">
        <v>44791</v>
      </c>
      <c r="E80" s="1" t="n">
        <v>46275</v>
      </c>
      <c r="F80" t="inlineStr">
        <is>
          <t>ÖREBRO LÄN</t>
        </is>
      </c>
      <c r="G80" t="inlineStr">
        <is>
          <t>NORA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52505-2023</t>
        </is>
      </c>
      <c r="B81" t="inlineStr">
        <is>
          <t>avverkningsanmälan</t>
        </is>
      </c>
      <c r="C81" t="inlineStr">
        <is>
          <t>Föryngringsavverkning</t>
        </is>
      </c>
      <c r="D81" s="1" t="n">
        <v>45225</v>
      </c>
      <c r="E81" s="1" t="n">
        <v>46275</v>
      </c>
      <c r="F81" t="inlineStr">
        <is>
          <t>ÖREBRO LÄN</t>
        </is>
      </c>
      <c r="G81" t="inlineStr">
        <is>
          <t>NORA</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26022-2023</t>
        </is>
      </c>
      <c r="B82" t="inlineStr">
        <is>
          <t>avverkningsanmälan</t>
        </is>
      </c>
      <c r="C82" t="inlineStr">
        <is>
          <t>Föryngringsavverkning</t>
        </is>
      </c>
      <c r="D82" s="1" t="n">
        <v>45091</v>
      </c>
      <c r="E82" s="1" t="n">
        <v>46275</v>
      </c>
      <c r="F82" t="inlineStr">
        <is>
          <t>ÖREBRO LÄN</t>
        </is>
      </c>
      <c r="G82" t="inlineStr">
        <is>
          <t>NORA</t>
        </is>
      </c>
      <c r="H82" t="inlineStr">
        <is>
          <t>Kyrkan</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38179-2023</t>
        </is>
      </c>
      <c r="B83" t="inlineStr">
        <is>
          <t>avverkningsanmälan</t>
        </is>
      </c>
      <c r="C83" t="inlineStr">
        <is>
          <t>Föryngringsavverkning</t>
        </is>
      </c>
      <c r="D83" s="1" t="n">
        <v>45161</v>
      </c>
      <c r="E83" s="1" t="n">
        <v>46275</v>
      </c>
      <c r="F83" t="inlineStr">
        <is>
          <t>ÖREBRO LÄN</t>
        </is>
      </c>
      <c r="G83" t="inlineStr">
        <is>
          <t>NORA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24389-2024</t>
        </is>
      </c>
      <c r="B84" t="inlineStr">
        <is>
          <t>avverkningsanmälan</t>
        </is>
      </c>
      <c r="C84" t="inlineStr">
        <is>
          <t>Föryngringsavverkning</t>
        </is>
      </c>
      <c r="D84" s="1" t="n">
        <v>45457</v>
      </c>
      <c r="E84" s="1" t="n">
        <v>46275</v>
      </c>
      <c r="F84" t="inlineStr">
        <is>
          <t>ÖREBRO LÄN</t>
        </is>
      </c>
      <c r="G84" t="inlineStr">
        <is>
          <t>NORA</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43254-2022</t>
        </is>
      </c>
      <c r="B85" t="inlineStr">
        <is>
          <t>avverkningsanmälan</t>
        </is>
      </c>
      <c r="C85" t="inlineStr">
        <is>
          <t>Föryngringsavverkning</t>
        </is>
      </c>
      <c r="D85" s="1" t="n">
        <v>44834</v>
      </c>
      <c r="E85" s="1" t="n">
        <v>46275</v>
      </c>
      <c r="F85" t="inlineStr">
        <is>
          <t>ÖREBRO LÄN</t>
        </is>
      </c>
      <c r="G85" t="inlineStr">
        <is>
          <t>NORA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46198-2023</t>
        </is>
      </c>
      <c r="B86" t="inlineStr">
        <is>
          <t>avverkningsanmälan</t>
        </is>
      </c>
      <c r="C86" t="inlineStr">
        <is>
          <t>Föryngringsavverkning</t>
        </is>
      </c>
      <c r="D86" s="1" t="n">
        <v>45196</v>
      </c>
      <c r="E86" s="1" t="n">
        <v>46275</v>
      </c>
      <c r="F86" t="inlineStr">
        <is>
          <t>ÖREBRO LÄN</t>
        </is>
      </c>
      <c r="G86" t="inlineStr">
        <is>
          <t>NORA</t>
        </is>
      </c>
      <c r="I86" t="n">
        <v>8.800000000000001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45645-2022</t>
        </is>
      </c>
      <c r="B87" t="inlineStr">
        <is>
          <t>avverkningsanmälan</t>
        </is>
      </c>
      <c r="C87" t="inlineStr">
        <is>
          <t>Föryngringsavverkning</t>
        </is>
      </c>
      <c r="D87" s="1" t="n">
        <v>44845</v>
      </c>
      <c r="E87" s="1" t="n">
        <v>46275</v>
      </c>
      <c r="F87" t="inlineStr">
        <is>
          <t>ÖREBRO LÄN</t>
        </is>
      </c>
      <c r="G87" t="inlineStr">
        <is>
          <t>NORA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13585-2024</t>
        </is>
      </c>
      <c r="B88" t="inlineStr">
        <is>
          <t>avverkningsanmälan</t>
        </is>
      </c>
      <c r="C88" t="inlineStr">
        <is>
          <t>Avverkning för att bevara och utveckla /försöksver</t>
        </is>
      </c>
      <c r="D88" s="1" t="n">
        <v>45389</v>
      </c>
      <c r="E88" s="1" t="n">
        <v>46275</v>
      </c>
      <c r="F88" t="inlineStr">
        <is>
          <t>ÖREBRO LÄN</t>
        </is>
      </c>
      <c r="G88" t="inlineStr">
        <is>
          <t>NORA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16109-2024</t>
        </is>
      </c>
      <c r="B89" t="inlineStr">
        <is>
          <t>avverkningsanmälan</t>
        </is>
      </c>
      <c r="C89" t="inlineStr">
        <is>
          <t>Föryngringsavverkning</t>
        </is>
      </c>
      <c r="D89" s="1" t="n">
        <v>45406</v>
      </c>
      <c r="E89" s="1" t="n">
        <v>46275</v>
      </c>
      <c r="F89" t="inlineStr">
        <is>
          <t>ÖREBRO LÄN</t>
        </is>
      </c>
      <c r="G89" t="inlineStr">
        <is>
          <t>NORA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26021-2023</t>
        </is>
      </c>
      <c r="B90" t="inlineStr">
        <is>
          <t>avverkningsanmälan</t>
        </is>
      </c>
      <c r="C90" t="inlineStr">
        <is>
          <t>Föryngringsavverkning</t>
        </is>
      </c>
      <c r="D90" s="1" t="n">
        <v>45091</v>
      </c>
      <c r="E90" s="1" t="n">
        <v>46275</v>
      </c>
      <c r="F90" t="inlineStr">
        <is>
          <t>ÖREBRO LÄN</t>
        </is>
      </c>
      <c r="G90" t="inlineStr">
        <is>
          <t>NORA</t>
        </is>
      </c>
      <c r="H90" t="inlineStr">
        <is>
          <t>Kyrkan</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64089-2023</t>
        </is>
      </c>
      <c r="B91" t="inlineStr">
        <is>
          <t>avverkningsanmälan</t>
        </is>
      </c>
      <c r="C91" t="inlineStr">
        <is>
          <t>Föryngringsavverkning</t>
        </is>
      </c>
      <c r="D91" s="1" t="n">
        <v>45279</v>
      </c>
      <c r="E91" s="1" t="n">
        <v>46275</v>
      </c>
      <c r="F91" t="inlineStr">
        <is>
          <t>ÖREBRO LÄN</t>
        </is>
      </c>
      <c r="G91" t="inlineStr">
        <is>
          <t>NORA</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53472-2022</t>
        </is>
      </c>
      <c r="B92" t="inlineStr">
        <is>
          <t>avverkningsanmälan</t>
        </is>
      </c>
      <c r="C92" t="inlineStr">
        <is>
          <t>Avverkning för annat ändamål</t>
        </is>
      </c>
      <c r="D92" s="1" t="n">
        <v>44879</v>
      </c>
      <c r="E92" s="1" t="n">
        <v>46275</v>
      </c>
      <c r="F92" t="inlineStr">
        <is>
          <t>ÖREBRO LÄN</t>
        </is>
      </c>
      <c r="G92" t="inlineStr">
        <is>
          <t>NORA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40497-2024</t>
        </is>
      </c>
      <c r="B93" t="inlineStr">
        <is>
          <t>avverkningsanmälan</t>
        </is>
      </c>
      <c r="C93" t="inlineStr">
        <is>
          <t>Föryngringsavverkning</t>
        </is>
      </c>
      <c r="D93" s="1" t="n">
        <v>45555</v>
      </c>
      <c r="E93" s="1" t="n">
        <v>46275</v>
      </c>
      <c r="F93" t="inlineStr">
        <is>
          <t>ÖREBRO LÄN</t>
        </is>
      </c>
      <c r="G93" t="inlineStr">
        <is>
          <t>NORA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22389-2023</t>
        </is>
      </c>
      <c r="B94" t="inlineStr">
        <is>
          <t>avverkningsanmälan</t>
        </is>
      </c>
      <c r="C94" t="inlineStr">
        <is>
          <t>Föryngringsavverkning</t>
        </is>
      </c>
      <c r="D94" s="1" t="n">
        <v>45070</v>
      </c>
      <c r="E94" s="1" t="n">
        <v>46275</v>
      </c>
      <c r="F94" t="inlineStr">
        <is>
          <t>ÖREBRO LÄN</t>
        </is>
      </c>
      <c r="G94" t="inlineStr">
        <is>
          <t>NORA</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56871-2021</t>
        </is>
      </c>
      <c r="B95" t="inlineStr">
        <is>
          <t>avverkningsanmälan</t>
        </is>
      </c>
      <c r="C95" t="inlineStr">
        <is>
          <t>Föryngringsavverkning</t>
        </is>
      </c>
      <c r="D95" s="1" t="n">
        <v>44481</v>
      </c>
      <c r="E95" s="1" t="n">
        <v>46275</v>
      </c>
      <c r="F95" t="inlineStr">
        <is>
          <t>ÖREBRO LÄN</t>
        </is>
      </c>
      <c r="G95" t="inlineStr">
        <is>
          <t>NORA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70200-2021</t>
        </is>
      </c>
      <c r="B96" t="inlineStr">
        <is>
          <t>avverkningsanmälan</t>
        </is>
      </c>
      <c r="C96" t="inlineStr">
        <is>
          <t>Föryngringsavverkning</t>
        </is>
      </c>
      <c r="D96" s="1" t="n">
        <v>44534</v>
      </c>
      <c r="E96" s="1" t="n">
        <v>46275</v>
      </c>
      <c r="F96" t="inlineStr">
        <is>
          <t>ÖREBRO LÄN</t>
        </is>
      </c>
      <c r="G96" t="inlineStr">
        <is>
          <t>NORA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17352-2024</t>
        </is>
      </c>
      <c r="B97" t="inlineStr">
        <is>
          <t>avverkningsanmälan</t>
        </is>
      </c>
      <c r="C97" t="inlineStr">
        <is>
          <t>Föryngringsavverkning</t>
        </is>
      </c>
      <c r="D97" s="1" t="n">
        <v>45414</v>
      </c>
      <c r="E97" s="1" t="n">
        <v>46275</v>
      </c>
      <c r="F97" t="inlineStr">
        <is>
          <t>ÖREBRO LÄN</t>
        </is>
      </c>
      <c r="G97" t="inlineStr">
        <is>
          <t>NORA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59637-2021</t>
        </is>
      </c>
      <c r="B98" t="inlineStr">
        <is>
          <t>avverkningsanmälan</t>
        </is>
      </c>
      <c r="C98" t="inlineStr">
        <is>
          <t>Föryngringsavverkning</t>
        </is>
      </c>
      <c r="D98" s="1" t="n">
        <v>44493</v>
      </c>
      <c r="E98" s="1" t="n">
        <v>46275</v>
      </c>
      <c r="F98" t="inlineStr">
        <is>
          <t>ÖREBRO LÄN</t>
        </is>
      </c>
      <c r="G98" t="inlineStr">
        <is>
          <t>NORA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49959-2023</t>
        </is>
      </c>
      <c r="B99" t="inlineStr">
        <is>
          <t>avverkningsanmälan</t>
        </is>
      </c>
      <c r="C99" t="inlineStr">
        <is>
          <t>Föryngringsavverkning</t>
        </is>
      </c>
      <c r="D99" s="1" t="n">
        <v>45215</v>
      </c>
      <c r="E99" s="1" t="n">
        <v>46275</v>
      </c>
      <c r="F99" t="inlineStr">
        <is>
          <t>ÖREBRO LÄN</t>
        </is>
      </c>
      <c r="G99" t="inlineStr">
        <is>
          <t>NORA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56136-2022</t>
        </is>
      </c>
      <c r="B100" t="inlineStr">
        <is>
          <t>avverkningsanmälan</t>
        </is>
      </c>
      <c r="C100" t="inlineStr">
        <is>
          <t>Föryngringsavverkning</t>
        </is>
      </c>
      <c r="D100" s="1" t="n">
        <v>44889</v>
      </c>
      <c r="E100" s="1" t="n">
        <v>46275</v>
      </c>
      <c r="F100" t="inlineStr">
        <is>
          <t>ÖREBRO LÄN</t>
        </is>
      </c>
      <c r="G100" t="inlineStr">
        <is>
          <t>NORA</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59607-2024</t>
        </is>
      </c>
      <c r="B101" t="inlineStr">
        <is>
          <t>avverkningsanmälan</t>
        </is>
      </c>
      <c r="C101" t="inlineStr">
        <is>
          <t>Föryngringsavverkning</t>
        </is>
      </c>
      <c r="D101" s="1" t="n">
        <v>45638</v>
      </c>
      <c r="E101" s="1" t="n">
        <v>46275</v>
      </c>
      <c r="F101" t="inlineStr">
        <is>
          <t>ÖREBRO LÄN</t>
        </is>
      </c>
      <c r="G101" t="inlineStr">
        <is>
          <t>NORA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36064-2023</t>
        </is>
      </c>
      <c r="B102" t="inlineStr">
        <is>
          <t>avverkningsanmälan</t>
        </is>
      </c>
      <c r="C102" t="inlineStr">
        <is>
          <t>Föryngringsavverkning</t>
        </is>
      </c>
      <c r="D102" s="1" t="n">
        <v>45149</v>
      </c>
      <c r="E102" s="1" t="n">
        <v>46275</v>
      </c>
      <c r="F102" t="inlineStr">
        <is>
          <t>ÖREBRO LÄN</t>
        </is>
      </c>
      <c r="G102" t="inlineStr">
        <is>
          <t>NORA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46688-2023</t>
        </is>
      </c>
      <c r="B103" t="inlineStr">
        <is>
          <t>avverkningsanmälan</t>
        </is>
      </c>
      <c r="C103" t="inlineStr">
        <is>
          <t>Föryngringsavverkning</t>
        </is>
      </c>
      <c r="D103" s="1" t="n">
        <v>45198</v>
      </c>
      <c r="E103" s="1" t="n">
        <v>46275</v>
      </c>
      <c r="F103" t="inlineStr">
        <is>
          <t>ÖREBRO LÄN</t>
        </is>
      </c>
      <c r="G103" t="inlineStr">
        <is>
          <t>NORA</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4977-2023</t>
        </is>
      </c>
      <c r="B104" t="inlineStr">
        <is>
          <t>avverkningsanmälan</t>
        </is>
      </c>
      <c r="C104" t="inlineStr">
        <is>
          <t>Föryngringsavverkning</t>
        </is>
      </c>
      <c r="D104" s="1" t="n">
        <v>44958</v>
      </c>
      <c r="E104" s="1" t="n">
        <v>46275</v>
      </c>
      <c r="F104" t="inlineStr">
        <is>
          <t>ÖREBRO LÄN</t>
        </is>
      </c>
      <c r="G104" t="inlineStr">
        <is>
          <t>NORA</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33887-2024</t>
        </is>
      </c>
      <c r="B105" t="inlineStr">
        <is>
          <t>avverkningsanmälan</t>
        </is>
      </c>
      <c r="C105" t="inlineStr">
        <is>
          <t>Föryngringsavverkning</t>
        </is>
      </c>
      <c r="D105" s="1" t="n">
        <v>45523</v>
      </c>
      <c r="E105" s="1" t="n">
        <v>46275</v>
      </c>
      <c r="F105" t="inlineStr">
        <is>
          <t>ÖREBRO LÄN</t>
        </is>
      </c>
      <c r="G105" t="inlineStr">
        <is>
          <t>NORA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29112-2023</t>
        </is>
      </c>
      <c r="B106" t="inlineStr">
        <is>
          <t>avverkningsanmälan</t>
        </is>
      </c>
      <c r="C106" t="inlineStr">
        <is>
          <t>Föryngringsavverkning</t>
        </is>
      </c>
      <c r="D106" s="1" t="n">
        <v>45105</v>
      </c>
      <c r="E106" s="1" t="n">
        <v>46275</v>
      </c>
      <c r="F106" t="inlineStr">
        <is>
          <t>ÖREBRO LÄN</t>
        </is>
      </c>
      <c r="G106" t="inlineStr">
        <is>
          <t>NORA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24822-2024</t>
        </is>
      </c>
      <c r="B107" t="inlineStr">
        <is>
          <t>avverkningsanmälan</t>
        </is>
      </c>
      <c r="C107" t="inlineStr">
        <is>
          <t>Föryngringsavverkning</t>
        </is>
      </c>
      <c r="D107" s="1" t="n">
        <v>45461</v>
      </c>
      <c r="E107" s="1" t="n">
        <v>46275</v>
      </c>
      <c r="F107" t="inlineStr">
        <is>
          <t>ÖREBRO LÄN</t>
        </is>
      </c>
      <c r="G107" t="inlineStr">
        <is>
          <t>NORA</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43919-2023</t>
        </is>
      </c>
      <c r="B108" t="inlineStr">
        <is>
          <t>avverkningsanmälan</t>
        </is>
      </c>
      <c r="C108" t="inlineStr">
        <is>
          <t>Föryngringsavverkning</t>
        </is>
      </c>
      <c r="D108" s="1" t="n">
        <v>45182</v>
      </c>
      <c r="E108" s="1" t="n">
        <v>46275</v>
      </c>
      <c r="F108" t="inlineStr">
        <is>
          <t>ÖREBRO LÄN</t>
        </is>
      </c>
      <c r="G108" t="inlineStr">
        <is>
          <t>NORA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45229-2023</t>
        </is>
      </c>
      <c r="B109" t="inlineStr">
        <is>
          <t>avverkningsanmälan</t>
        </is>
      </c>
      <c r="C109" t="inlineStr">
        <is>
          <t>Föryngringsavverkning</t>
        </is>
      </c>
      <c r="D109" s="1" t="n">
        <v>45191</v>
      </c>
      <c r="E109" s="1" t="n">
        <v>46275</v>
      </c>
      <c r="F109" t="inlineStr">
        <is>
          <t>ÖREBRO LÄN</t>
        </is>
      </c>
      <c r="G109" t="inlineStr">
        <is>
          <t>NORA</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60397-2022</t>
        </is>
      </c>
      <c r="B110" t="inlineStr">
        <is>
          <t>avverkningsanmälan</t>
        </is>
      </c>
      <c r="C110" t="inlineStr">
        <is>
          <t>Föryngringsavverkning</t>
        </is>
      </c>
      <c r="D110" s="1" t="n">
        <v>44910</v>
      </c>
      <c r="E110" s="1" t="n">
        <v>46275</v>
      </c>
      <c r="F110" t="inlineStr">
        <is>
          <t>ÖREBRO LÄN</t>
        </is>
      </c>
      <c r="G110" t="inlineStr">
        <is>
          <t>NORA</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9457-2025</t>
        </is>
      </c>
      <c r="B111" t="inlineStr">
        <is>
          <t>avverkningsanmälan</t>
        </is>
      </c>
      <c r="C111" t="inlineStr">
        <is>
          <t>Föryngringsavverkning</t>
        </is>
      </c>
      <c r="D111" s="1" t="n">
        <v>45714</v>
      </c>
      <c r="E111" s="1" t="n">
        <v>46275</v>
      </c>
      <c r="F111" t="inlineStr">
        <is>
          <t>ÖREBRO LÄN</t>
        </is>
      </c>
      <c r="G111" t="inlineStr">
        <is>
          <t>NORA</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11631-2022</t>
        </is>
      </c>
      <c r="B112" t="inlineStr">
        <is>
          <t>avverkningsanmälan</t>
        </is>
      </c>
      <c r="C112" t="inlineStr">
        <is>
          <t>Föryngringsavverkning</t>
        </is>
      </c>
      <c r="D112" s="1" t="n">
        <v>44631</v>
      </c>
      <c r="E112" s="1" t="n">
        <v>46275</v>
      </c>
      <c r="F112" t="inlineStr">
        <is>
          <t>ÖREBRO LÄN</t>
        </is>
      </c>
      <c r="G112" t="inlineStr">
        <is>
          <t>NORA</t>
        </is>
      </c>
      <c r="H112" t="inlineStr">
        <is>
          <t>Sveaskog</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8936-2025</t>
        </is>
      </c>
      <c r="B113" t="inlineStr">
        <is>
          <t>avverkningsanmälan</t>
        </is>
      </c>
      <c r="C113" t="inlineStr">
        <is>
          <t>Föryngringsavverkning</t>
        </is>
      </c>
      <c r="D113" s="1" t="n">
        <v>45714</v>
      </c>
      <c r="E113" s="1" t="n">
        <v>46275</v>
      </c>
      <c r="F113" t="inlineStr">
        <is>
          <t>ÖREBRO LÄN</t>
        </is>
      </c>
      <c r="G113" t="inlineStr">
        <is>
          <t>NORA</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27767-2023</t>
        </is>
      </c>
      <c r="B114" t="inlineStr">
        <is>
          <t>avverkningsanmälan</t>
        </is>
      </c>
      <c r="C114" t="inlineStr">
        <is>
          <t>Föryngringsavverkning</t>
        </is>
      </c>
      <c r="D114" s="1" t="n">
        <v>45098</v>
      </c>
      <c r="E114" s="1" t="n">
        <v>46275</v>
      </c>
      <c r="F114" t="inlineStr">
        <is>
          <t>ÖREBRO LÄN</t>
        </is>
      </c>
      <c r="G114" t="inlineStr">
        <is>
          <t>NORA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16085-2024</t>
        </is>
      </c>
      <c r="B115" t="inlineStr">
        <is>
          <t>avverkningsanmälan</t>
        </is>
      </c>
      <c r="C115" t="inlineStr">
        <is>
          <t>Föryngringsavverkning</t>
        </is>
      </c>
      <c r="D115" s="1" t="n">
        <v>45406</v>
      </c>
      <c r="E115" s="1" t="n">
        <v>46275</v>
      </c>
      <c r="F115" t="inlineStr">
        <is>
          <t>ÖREBRO LÄN</t>
        </is>
      </c>
      <c r="G115" t="inlineStr">
        <is>
          <t>NORA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13563-2024</t>
        </is>
      </c>
      <c r="B116" t="inlineStr">
        <is>
          <t>avverkningsanmälan</t>
        </is>
      </c>
      <c r="C116" t="inlineStr">
        <is>
          <t>Avverkning för att bevara och utveckla /försöksver</t>
        </is>
      </c>
      <c r="D116" s="1" t="n">
        <v>45388</v>
      </c>
      <c r="E116" s="1" t="n">
        <v>46275</v>
      </c>
      <c r="F116" t="inlineStr">
        <is>
          <t>ÖREBRO LÄN</t>
        </is>
      </c>
      <c r="G116" t="inlineStr">
        <is>
          <t>NORA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16557-2024</t>
        </is>
      </c>
      <c r="B117" t="inlineStr">
        <is>
          <t>avverkningsanmälan</t>
        </is>
      </c>
      <c r="C117" t="inlineStr">
        <is>
          <t>Föryngringsavverkning</t>
        </is>
      </c>
      <c r="D117" s="1" t="n">
        <v>45408</v>
      </c>
      <c r="E117" s="1" t="n">
        <v>46275</v>
      </c>
      <c r="F117" t="inlineStr">
        <is>
          <t>ÖREBRO LÄN</t>
        </is>
      </c>
      <c r="G117" t="inlineStr">
        <is>
          <t>NORA</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53938-2023</t>
        </is>
      </c>
      <c r="B118" t="inlineStr">
        <is>
          <t>avverkningsanmälan</t>
        </is>
      </c>
      <c r="C118" t="inlineStr">
        <is>
          <t>Föryngringsavverkning</t>
        </is>
      </c>
      <c r="D118" s="1" t="n">
        <v>45231</v>
      </c>
      <c r="E118" s="1" t="n">
        <v>46275</v>
      </c>
      <c r="F118" t="inlineStr">
        <is>
          <t>ÖREBRO LÄN</t>
        </is>
      </c>
      <c r="G118" t="inlineStr">
        <is>
          <t>NORA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64090-2023</t>
        </is>
      </c>
      <c r="B119" t="inlineStr">
        <is>
          <t>avverkningsanmälan</t>
        </is>
      </c>
      <c r="C119" t="inlineStr">
        <is>
          <t>Föryngringsavverkning</t>
        </is>
      </c>
      <c r="D119" s="1" t="n">
        <v>45279</v>
      </c>
      <c r="E119" s="1" t="n">
        <v>46275</v>
      </c>
      <c r="F119" t="inlineStr">
        <is>
          <t>ÖREBRO LÄN</t>
        </is>
      </c>
      <c r="G119" t="inlineStr">
        <is>
          <t>NORA</t>
        </is>
      </c>
      <c r="H119" t="inlineStr">
        <is>
          <t>Sveaskog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5217-2022</t>
        </is>
      </c>
      <c r="B120" t="inlineStr">
        <is>
          <t>avverkningsanmälan</t>
        </is>
      </c>
      <c r="C120" t="inlineStr">
        <is>
          <t>Avverkning för annat ändamål</t>
        </is>
      </c>
      <c r="D120" s="1" t="n">
        <v>44593</v>
      </c>
      <c r="E120" s="1" t="n">
        <v>46275</v>
      </c>
      <c r="F120" t="inlineStr">
        <is>
          <t>ÖREBRO LÄN</t>
        </is>
      </c>
      <c r="G120" t="inlineStr">
        <is>
          <t>NORA</t>
        </is>
      </c>
      <c r="H120" t="inlineStr">
        <is>
          <t>Övriga Aktiebolag</t>
        </is>
      </c>
      <c r="I120" t="n">
        <v>38.4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58829-2023</t>
        </is>
      </c>
      <c r="B121" t="inlineStr">
        <is>
          <t>avverkningsanmälan</t>
        </is>
      </c>
      <c r="C121" t="inlineStr">
        <is>
          <t>Föryngringsavverkning</t>
        </is>
      </c>
      <c r="D121" s="1" t="n">
        <v>45252</v>
      </c>
      <c r="E121" s="1" t="n">
        <v>46275</v>
      </c>
      <c r="F121" t="inlineStr">
        <is>
          <t>ÖREBRO LÄN</t>
        </is>
      </c>
      <c r="G121" t="inlineStr">
        <is>
          <t>NORA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29018-2023</t>
        </is>
      </c>
      <c r="B122" t="inlineStr">
        <is>
          <t>avverkningsanmälan</t>
        </is>
      </c>
      <c r="C122" t="inlineStr">
        <is>
          <t>Föryngringsavverkning</t>
        </is>
      </c>
      <c r="D122" s="1" t="n">
        <v>45104</v>
      </c>
      <c r="E122" s="1" t="n">
        <v>46275</v>
      </c>
      <c r="F122" t="inlineStr">
        <is>
          <t>ÖREBRO LÄN</t>
        </is>
      </c>
      <c r="G122" t="inlineStr">
        <is>
          <t>NORA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60301-2023</t>
        </is>
      </c>
      <c r="B123" t="inlineStr">
        <is>
          <t>avverkningsanmälan</t>
        </is>
      </c>
      <c r="C123" t="inlineStr">
        <is>
          <t>Föryngringsavverkning</t>
        </is>
      </c>
      <c r="D123" s="1" t="n">
        <v>45258</v>
      </c>
      <c r="E123" s="1" t="n">
        <v>46275</v>
      </c>
      <c r="F123" t="inlineStr">
        <is>
          <t>ÖREBRO LÄN</t>
        </is>
      </c>
      <c r="G123" t="inlineStr">
        <is>
          <t>NORA</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38177-2023</t>
        </is>
      </c>
      <c r="B124" t="inlineStr">
        <is>
          <t>avverkningsanmälan</t>
        </is>
      </c>
      <c r="C124" t="inlineStr">
        <is>
          <t>Föryngringsavverkning</t>
        </is>
      </c>
      <c r="D124" s="1" t="n">
        <v>45161</v>
      </c>
      <c r="E124" s="1" t="n">
        <v>46275</v>
      </c>
      <c r="F124" t="inlineStr">
        <is>
          <t>ÖREBRO LÄN</t>
        </is>
      </c>
      <c r="G124" t="inlineStr">
        <is>
          <t>NORA</t>
        </is>
      </c>
      <c r="I124" t="n">
        <v>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59056-2024</t>
        </is>
      </c>
      <c r="B125" t="inlineStr">
        <is>
          <t>avverkningsanmälan</t>
        </is>
      </c>
      <c r="C125" t="inlineStr">
        <is>
          <t>Föryngringsavverkning</t>
        </is>
      </c>
      <c r="D125" s="1" t="n">
        <v>45636</v>
      </c>
      <c r="E125" s="1" t="n">
        <v>46275</v>
      </c>
      <c r="F125" t="inlineStr">
        <is>
          <t>ÖREBRO LÄN</t>
        </is>
      </c>
      <c r="G125" t="inlineStr">
        <is>
          <t>NORA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4723-2023</t>
        </is>
      </c>
      <c r="B126" t="inlineStr">
        <is>
          <t>avverkningsanmälan</t>
        </is>
      </c>
      <c r="C126" t="inlineStr">
        <is>
          <t>Föryngringsavverkning</t>
        </is>
      </c>
      <c r="D126" s="1" t="n">
        <v>44957</v>
      </c>
      <c r="E126" s="1" t="n">
        <v>46275</v>
      </c>
      <c r="F126" t="inlineStr">
        <is>
          <t>ÖREBRO LÄN</t>
        </is>
      </c>
      <c r="G126" t="inlineStr">
        <is>
          <t>NORA</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35144-2023</t>
        </is>
      </c>
      <c r="B127" t="inlineStr">
        <is>
          <t>avverkningsanmälan</t>
        </is>
      </c>
      <c r="C127" t="inlineStr">
        <is>
          <t>Föryngringsavverkning</t>
        </is>
      </c>
      <c r="D127" s="1" t="n">
        <v>45145</v>
      </c>
      <c r="E127" s="1" t="n">
        <v>46275</v>
      </c>
      <c r="F127" t="inlineStr">
        <is>
          <t>ÖREBRO LÄN</t>
        </is>
      </c>
      <c r="G127" t="inlineStr">
        <is>
          <t>NORA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10882-2024</t>
        </is>
      </c>
      <c r="B128" t="inlineStr">
        <is>
          <t>avverkningsanmälan</t>
        </is>
      </c>
      <c r="C128" t="inlineStr">
        <is>
          <t>Föryngringsavverkning</t>
        </is>
      </c>
      <c r="D128" s="1" t="n">
        <v>45370</v>
      </c>
      <c r="E128" s="1" t="n">
        <v>46275</v>
      </c>
      <c r="F128" t="inlineStr">
        <is>
          <t>ÖREBRO LÄN</t>
        </is>
      </c>
      <c r="G128" t="inlineStr">
        <is>
          <t>NORA</t>
        </is>
      </c>
      <c r="H128" t="inlineStr">
        <is>
          <t>Sveaskog</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15012-2023</t>
        </is>
      </c>
      <c r="B129" t="inlineStr">
        <is>
          <t>avverkningsanmälan</t>
        </is>
      </c>
      <c r="C129" t="inlineStr">
        <is>
          <t>Föryngringsavverkning</t>
        </is>
      </c>
      <c r="D129" s="1" t="n">
        <v>45015</v>
      </c>
      <c r="E129" s="1" t="n">
        <v>46275</v>
      </c>
      <c r="F129" t="inlineStr">
        <is>
          <t>ÖREBRO LÄN</t>
        </is>
      </c>
      <c r="G129" t="inlineStr">
        <is>
          <t>NORA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5049-2022</t>
        </is>
      </c>
      <c r="B130" t="inlineStr">
        <is>
          <t>avverkningsanmälan</t>
        </is>
      </c>
      <c r="C130" t="inlineStr">
        <is>
          <t>Föryngringsavverkning</t>
        </is>
      </c>
      <c r="D130" s="1" t="n">
        <v>44593</v>
      </c>
      <c r="E130" s="1" t="n">
        <v>46275</v>
      </c>
      <c r="F130" t="inlineStr">
        <is>
          <t>ÖREBRO LÄN</t>
        </is>
      </c>
      <c r="G130" t="inlineStr">
        <is>
          <t>NORA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17770-2022</t>
        </is>
      </c>
      <c r="B131" t="inlineStr">
        <is>
          <t>avverkningsanmälan</t>
        </is>
      </c>
      <c r="C131" t="inlineStr">
        <is>
          <t>Föryngringsavverkning</t>
        </is>
      </c>
      <c r="D131" s="1" t="n">
        <v>44682</v>
      </c>
      <c r="E131" s="1" t="n">
        <v>46275</v>
      </c>
      <c r="F131" t="inlineStr">
        <is>
          <t>ÖREBRO LÄN</t>
        </is>
      </c>
      <c r="G131" t="inlineStr">
        <is>
          <t>NORA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8295-2024</t>
        </is>
      </c>
      <c r="B132" t="inlineStr">
        <is>
          <t>avverkningsanmälan</t>
        </is>
      </c>
      <c r="C132" t="inlineStr">
        <is>
          <t>Föryngringsavverkning</t>
        </is>
      </c>
      <c r="D132" s="1" t="n">
        <v>45352</v>
      </c>
      <c r="E132" s="1" t="n">
        <v>46275</v>
      </c>
      <c r="F132" t="inlineStr">
        <is>
          <t>ÖREBRO LÄN</t>
        </is>
      </c>
      <c r="G132" t="inlineStr">
        <is>
          <t>NORA</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39707-2022</t>
        </is>
      </c>
      <c r="B133" t="inlineStr">
        <is>
          <t>avverkningsanmälan</t>
        </is>
      </c>
      <c r="C133" t="inlineStr">
        <is>
          <t>Föryngringsavverkning</t>
        </is>
      </c>
      <c r="D133" s="1" t="n">
        <v>44818</v>
      </c>
      <c r="E133" s="1" t="n">
        <v>46275</v>
      </c>
      <c r="F133" t="inlineStr">
        <is>
          <t>ÖREBRO LÄN</t>
        </is>
      </c>
      <c r="G133" t="inlineStr">
        <is>
          <t>NORA</t>
        </is>
      </c>
      <c r="H133" t="inlineStr">
        <is>
          <t>Sveaskog</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9754-2022</t>
        </is>
      </c>
      <c r="B134" t="inlineStr">
        <is>
          <t>avverkningsanmälan</t>
        </is>
      </c>
      <c r="C134" t="inlineStr">
        <is>
          <t>Föryngringsavverkning</t>
        </is>
      </c>
      <c r="D134" s="1" t="n">
        <v>44618</v>
      </c>
      <c r="E134" s="1" t="n">
        <v>46275</v>
      </c>
      <c r="F134" t="inlineStr">
        <is>
          <t>ÖREBRO LÄN</t>
        </is>
      </c>
      <c r="G134" t="inlineStr">
        <is>
          <t>NORA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10079-2024</t>
        </is>
      </c>
      <c r="B135" t="inlineStr">
        <is>
          <t>avverkningsanmälan</t>
        </is>
      </c>
      <c r="C135" t="inlineStr">
        <is>
          <t>Avverkning för annat ändamål</t>
        </is>
      </c>
      <c r="D135" s="1" t="n">
        <v>45364</v>
      </c>
      <c r="E135" s="1" t="n">
        <v>46275</v>
      </c>
      <c r="F135" t="inlineStr">
        <is>
          <t>ÖREBRO LÄN</t>
        </is>
      </c>
      <c r="G135" t="inlineStr">
        <is>
          <t>NORA</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48707-2022</t>
        </is>
      </c>
      <c r="B136" t="inlineStr">
        <is>
          <t>avverkningsanmälan</t>
        </is>
      </c>
      <c r="C136" t="inlineStr">
        <is>
          <t>Föryngringsavverkning</t>
        </is>
      </c>
      <c r="D136" s="1" t="n">
        <v>44859</v>
      </c>
      <c r="E136" s="1" t="n">
        <v>46275</v>
      </c>
      <c r="F136" t="inlineStr">
        <is>
          <t>ÖREBRO LÄN</t>
        </is>
      </c>
      <c r="G136" t="inlineStr">
        <is>
          <t>NORA</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45159-2023</t>
        </is>
      </c>
      <c r="B137" t="inlineStr">
        <is>
          <t>avverkningsanmälan</t>
        </is>
      </c>
      <c r="C137" t="inlineStr">
        <is>
          <t>Föryngringsavverkning</t>
        </is>
      </c>
      <c r="D137" s="1" t="n">
        <v>45191</v>
      </c>
      <c r="E137" s="1" t="n">
        <v>46275</v>
      </c>
      <c r="F137" t="inlineStr">
        <is>
          <t>ÖREBRO LÄN</t>
        </is>
      </c>
      <c r="G137" t="inlineStr">
        <is>
          <t>NORA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52879-2023</t>
        </is>
      </c>
      <c r="B138" t="inlineStr">
        <is>
          <t>avverkningsanmälan</t>
        </is>
      </c>
      <c r="C138" t="inlineStr">
        <is>
          <t>Föryngringsavverkning</t>
        </is>
      </c>
      <c r="D138" s="1" t="n">
        <v>45226</v>
      </c>
      <c r="E138" s="1" t="n">
        <v>46275</v>
      </c>
      <c r="F138" t="inlineStr">
        <is>
          <t>ÖREBRO LÄN</t>
        </is>
      </c>
      <c r="G138" t="inlineStr">
        <is>
          <t>NORA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45216-2023</t>
        </is>
      </c>
      <c r="B139" t="inlineStr">
        <is>
          <t>avverkningsanmälan</t>
        </is>
      </c>
      <c r="C139" t="inlineStr">
        <is>
          <t>Föryngringsavverkning</t>
        </is>
      </c>
      <c r="D139" s="1" t="n">
        <v>45191</v>
      </c>
      <c r="E139" s="1" t="n">
        <v>46275</v>
      </c>
      <c r="F139" t="inlineStr">
        <is>
          <t>ÖREBRO LÄN</t>
        </is>
      </c>
      <c r="G139" t="inlineStr">
        <is>
          <t>NORA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17140-2022</t>
        </is>
      </c>
      <c r="B140" t="inlineStr">
        <is>
          <t>avverkningsanmälan</t>
        </is>
      </c>
      <c r="C140" t="inlineStr">
        <is>
          <t>Föryngringsavverkning</t>
        </is>
      </c>
      <c r="D140" s="1" t="n">
        <v>44677</v>
      </c>
      <c r="E140" s="1" t="n">
        <v>46275</v>
      </c>
      <c r="F140" t="inlineStr">
        <is>
          <t>ÖREBRO LÄN</t>
        </is>
      </c>
      <c r="G140" t="inlineStr">
        <is>
          <t>NORA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24820-2024</t>
        </is>
      </c>
      <c r="B141" t="inlineStr">
        <is>
          <t>avverkningsanmälan</t>
        </is>
      </c>
      <c r="C141" t="inlineStr">
        <is>
          <t>Föryngringsavverkning</t>
        </is>
      </c>
      <c r="D141" s="1" t="n">
        <v>45461</v>
      </c>
      <c r="E141" s="1" t="n">
        <v>46275</v>
      </c>
      <c r="F141" t="inlineStr">
        <is>
          <t>ÖREBRO LÄN</t>
        </is>
      </c>
      <c r="G141" t="inlineStr">
        <is>
          <t>NORA</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57639-2023</t>
        </is>
      </c>
      <c r="B142" t="inlineStr">
        <is>
          <t>avverkningsanmälan</t>
        </is>
      </c>
      <c r="C142" t="inlineStr">
        <is>
          <t>Föryngringsavverkning</t>
        </is>
      </c>
      <c r="D142" s="1" t="n">
        <v>45246</v>
      </c>
      <c r="E142" s="1" t="n">
        <v>46275</v>
      </c>
      <c r="F142" t="inlineStr">
        <is>
          <t>ÖREBRO LÄN</t>
        </is>
      </c>
      <c r="G142" t="inlineStr">
        <is>
          <t>NORA</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2413-2024</t>
        </is>
      </c>
      <c r="B143" t="inlineStr">
        <is>
          <t>avverkningsanmälan</t>
        </is>
      </c>
      <c r="C143" t="inlineStr">
        <is>
          <t>Föryngringsavverkning</t>
        </is>
      </c>
      <c r="D143" s="1" t="n">
        <v>45310</v>
      </c>
      <c r="E143" s="1" t="n">
        <v>46275</v>
      </c>
      <c r="F143" t="inlineStr">
        <is>
          <t>ÖREBRO LÄN</t>
        </is>
      </c>
      <c r="G143" t="inlineStr">
        <is>
          <t>NORA</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3309-2024</t>
        </is>
      </c>
      <c r="B144" t="inlineStr">
        <is>
          <t>avverkningsanmälan</t>
        </is>
      </c>
      <c r="C144" t="inlineStr">
        <is>
          <t>Föryngringsavverkning</t>
        </is>
      </c>
      <c r="D144" s="1" t="n">
        <v>45317</v>
      </c>
      <c r="E144" s="1" t="n">
        <v>46275</v>
      </c>
      <c r="F144" t="inlineStr">
        <is>
          <t>ÖREBRO LÄN</t>
        </is>
      </c>
      <c r="G144" t="inlineStr">
        <is>
          <t>NORA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12699-2023</t>
        </is>
      </c>
      <c r="B145" t="inlineStr">
        <is>
          <t>avverkningsanmälan</t>
        </is>
      </c>
      <c r="C145" t="inlineStr">
        <is>
          <t>Föryngringsavverkning</t>
        </is>
      </c>
      <c r="D145" s="1" t="n">
        <v>45000</v>
      </c>
      <c r="E145" s="1" t="n">
        <v>46275</v>
      </c>
      <c r="F145" t="inlineStr">
        <is>
          <t>ÖREBRO LÄN</t>
        </is>
      </c>
      <c r="G145" t="inlineStr">
        <is>
          <t>NORA</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9295-2025</t>
        </is>
      </c>
      <c r="B146" t="inlineStr">
        <is>
          <t>avverkningsanmälan</t>
        </is>
      </c>
      <c r="C146" t="inlineStr">
        <is>
          <t>Föryngringsavverkning</t>
        </is>
      </c>
      <c r="D146" s="1" t="n">
        <v>45714</v>
      </c>
      <c r="E146" s="1" t="n">
        <v>46275</v>
      </c>
      <c r="F146" t="inlineStr">
        <is>
          <t>ÖREBRO LÄN</t>
        </is>
      </c>
      <c r="G146" t="inlineStr">
        <is>
          <t>NORA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45234-2023</t>
        </is>
      </c>
      <c r="B147" t="inlineStr">
        <is>
          <t>avverkningsanmälan</t>
        </is>
      </c>
      <c r="C147" t="inlineStr">
        <is>
          <t>Föryngringsavverkning</t>
        </is>
      </c>
      <c r="D147" s="1" t="n">
        <v>45191</v>
      </c>
      <c r="E147" s="1" t="n">
        <v>46275</v>
      </c>
      <c r="F147" t="inlineStr">
        <is>
          <t>ÖREBRO LÄN</t>
        </is>
      </c>
      <c r="G147" t="inlineStr">
        <is>
          <t>NORA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12646-2024</t>
        </is>
      </c>
      <c r="B148" t="inlineStr">
        <is>
          <t>avverkningsanmälan</t>
        </is>
      </c>
      <c r="C148" t="inlineStr">
        <is>
          <t>Föryngringsavverkning</t>
        </is>
      </c>
      <c r="D148" s="1" t="n">
        <v>45384</v>
      </c>
      <c r="E148" s="1" t="n">
        <v>46275</v>
      </c>
      <c r="F148" t="inlineStr">
        <is>
          <t>ÖREBRO LÄN</t>
        </is>
      </c>
      <c r="G148" t="inlineStr">
        <is>
          <t>NORA</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16281-2024</t>
        </is>
      </c>
      <c r="B149" t="inlineStr">
        <is>
          <t>avverkningsanmälan</t>
        </is>
      </c>
      <c r="C149" t="inlineStr">
        <is>
          <t>Föryngringsavverkning</t>
        </is>
      </c>
      <c r="D149" s="1" t="n">
        <v>45407</v>
      </c>
      <c r="E149" s="1" t="n">
        <v>46275</v>
      </c>
      <c r="F149" t="inlineStr">
        <is>
          <t>ÖREBRO LÄN</t>
        </is>
      </c>
      <c r="G149" t="inlineStr">
        <is>
          <t>NORA</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73009-2021</t>
        </is>
      </c>
      <c r="B150" t="inlineStr">
        <is>
          <t>avverkningsanmälan</t>
        </is>
      </c>
      <c r="C150" t="inlineStr">
        <is>
          <t>Föryngringsavverkning</t>
        </is>
      </c>
      <c r="D150" s="1" t="n">
        <v>44550</v>
      </c>
      <c r="E150" s="1" t="n">
        <v>46275</v>
      </c>
      <c r="F150" t="inlineStr">
        <is>
          <t>ÖREBRO LÄN</t>
        </is>
      </c>
      <c r="G150" t="inlineStr">
        <is>
          <t>NORA</t>
        </is>
      </c>
      <c r="H150" t="inlineStr">
        <is>
          <t>Sveaskog</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24391-2024</t>
        </is>
      </c>
      <c r="B151" t="inlineStr">
        <is>
          <t>avverkningsanmälan</t>
        </is>
      </c>
      <c r="C151" t="inlineStr">
        <is>
          <t>Föryngringsavverkning</t>
        </is>
      </c>
      <c r="D151" s="1" t="n">
        <v>45457</v>
      </c>
      <c r="E151" s="1" t="n">
        <v>46275</v>
      </c>
      <c r="F151" t="inlineStr">
        <is>
          <t>ÖREBRO LÄN</t>
        </is>
      </c>
      <c r="G151" t="inlineStr">
        <is>
          <t>NORA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24392-2024</t>
        </is>
      </c>
      <c r="B152" t="inlineStr">
        <is>
          <t>avverkningsanmälan</t>
        </is>
      </c>
      <c r="C152" t="inlineStr">
        <is>
          <t>Föryngringsavverkning</t>
        </is>
      </c>
      <c r="D152" s="1" t="n">
        <v>45457</v>
      </c>
      <c r="E152" s="1" t="n">
        <v>46275</v>
      </c>
      <c r="F152" t="inlineStr">
        <is>
          <t>ÖREBRO LÄN</t>
        </is>
      </c>
      <c r="G152" t="inlineStr">
        <is>
          <t>NORA</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14315-2025</t>
        </is>
      </c>
      <c r="B153" t="inlineStr">
        <is>
          <t>avverkningsanmälan</t>
        </is>
      </c>
      <c r="C153" t="inlineStr">
        <is>
          <t>Föryngringsavverkning</t>
        </is>
      </c>
      <c r="D153" s="1" t="n">
        <v>45740</v>
      </c>
      <c r="E153" s="1" t="n">
        <v>46275</v>
      </c>
      <c r="F153" t="inlineStr">
        <is>
          <t>ÖREBRO LÄN</t>
        </is>
      </c>
      <c r="G153" t="inlineStr">
        <is>
          <t>NORA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1566-2025</t>
        </is>
      </c>
      <c r="B154" t="inlineStr">
        <is>
          <t>avverkningsanmälan</t>
        </is>
      </c>
      <c r="C154" t="inlineStr">
        <is>
          <t>Föryngringsavverkning</t>
        </is>
      </c>
      <c r="D154" s="1" t="n">
        <v>45670</v>
      </c>
      <c r="E154" s="1" t="n">
        <v>46275</v>
      </c>
      <c r="F154" t="inlineStr">
        <is>
          <t>ÖREBRO LÄN</t>
        </is>
      </c>
      <c r="G154" t="inlineStr">
        <is>
          <t>NORA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40339-2024</t>
        </is>
      </c>
      <c r="B155" t="inlineStr">
        <is>
          <t>avverkningsanmälan</t>
        </is>
      </c>
      <c r="C155" t="inlineStr">
        <is>
          <t>Föryngringsavverkning</t>
        </is>
      </c>
      <c r="D155" s="1" t="n">
        <v>45555</v>
      </c>
      <c r="E155" s="1" t="n">
        <v>46275</v>
      </c>
      <c r="F155" t="inlineStr">
        <is>
          <t>ÖREBRO LÄN</t>
        </is>
      </c>
      <c r="G155" t="inlineStr">
        <is>
          <t>NORA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54604-2024</t>
        </is>
      </c>
      <c r="B156" t="inlineStr">
        <is>
          <t>avverkningsanmälan</t>
        </is>
      </c>
      <c r="C156" t="inlineStr">
        <is>
          <t>Föryngringsavverkning</t>
        </is>
      </c>
      <c r="D156" s="1" t="n">
        <v>45617</v>
      </c>
      <c r="E156" s="1" t="n">
        <v>46275</v>
      </c>
      <c r="F156" t="inlineStr">
        <is>
          <t>ÖREBRO LÄN</t>
        </is>
      </c>
      <c r="G156" t="inlineStr">
        <is>
          <t>NORA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17344-2024</t>
        </is>
      </c>
      <c r="B157" t="inlineStr">
        <is>
          <t>avverkningsanmälan</t>
        </is>
      </c>
      <c r="C157" t="inlineStr">
        <is>
          <t>Föryngringsavverkning</t>
        </is>
      </c>
      <c r="D157" s="1" t="n">
        <v>45414</v>
      </c>
      <c r="E157" s="1" t="n">
        <v>46275</v>
      </c>
      <c r="F157" t="inlineStr">
        <is>
          <t>ÖREBRO LÄN</t>
        </is>
      </c>
      <c r="G157" t="inlineStr">
        <is>
          <t>NORA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43843-2023</t>
        </is>
      </c>
      <c r="B158" t="inlineStr">
        <is>
          <t>avverkningsanmälan</t>
        </is>
      </c>
      <c r="C158" t="inlineStr">
        <is>
          <t>Avverkning för annat ändamål</t>
        </is>
      </c>
      <c r="D158" s="1" t="n">
        <v>45187</v>
      </c>
      <c r="E158" s="1" t="n">
        <v>46275</v>
      </c>
      <c r="F158" t="inlineStr">
        <is>
          <t>ÖREBRO LÄN</t>
        </is>
      </c>
      <c r="G158" t="inlineStr">
        <is>
          <t>NORA</t>
        </is>
      </c>
      <c r="H158" t="inlineStr">
        <is>
          <t>Sveaskog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52303-2024</t>
        </is>
      </c>
      <c r="B159" t="inlineStr">
        <is>
          <t>avverkningsanmälan</t>
        </is>
      </c>
      <c r="C159" t="inlineStr">
        <is>
          <t>Föryngringsavverkning</t>
        </is>
      </c>
      <c r="D159" s="1" t="n">
        <v>45608</v>
      </c>
      <c r="E159" s="1" t="n">
        <v>46275</v>
      </c>
      <c r="F159" t="inlineStr">
        <is>
          <t>ÖREBRO LÄN</t>
        </is>
      </c>
      <c r="G159" t="inlineStr">
        <is>
          <t>NORA</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23277-2024</t>
        </is>
      </c>
      <c r="B160" t="inlineStr">
        <is>
          <t>avverkningsanmälan</t>
        </is>
      </c>
      <c r="C160" t="inlineStr">
        <is>
          <t>Föryngringsavverkning</t>
        </is>
      </c>
      <c r="D160" s="1" t="n">
        <v>45453</v>
      </c>
      <c r="E160" s="1" t="n">
        <v>46275</v>
      </c>
      <c r="F160" t="inlineStr">
        <is>
          <t>ÖREBRO LÄN</t>
        </is>
      </c>
      <c r="G160" t="inlineStr">
        <is>
          <t>NORA</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37849-2023</t>
        </is>
      </c>
      <c r="B161" t="inlineStr">
        <is>
          <t>avverkningsanmälan</t>
        </is>
      </c>
      <c r="C161" t="inlineStr">
        <is>
          <t>Föryngringsavverkning</t>
        </is>
      </c>
      <c r="D161" s="1" t="n">
        <v>45158</v>
      </c>
      <c r="E161" s="1" t="n">
        <v>46275</v>
      </c>
      <c r="F161" t="inlineStr">
        <is>
          <t>ÖREBRO LÄN</t>
        </is>
      </c>
      <c r="G161" t="inlineStr">
        <is>
          <t>NORA</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39257-2023</t>
        </is>
      </c>
      <c r="B162" t="inlineStr">
        <is>
          <t>avverkningsanmälan</t>
        </is>
      </c>
      <c r="C162" t="inlineStr">
        <is>
          <t>Föryngringsavverkning</t>
        </is>
      </c>
      <c r="D162" s="1" t="n">
        <v>45166</v>
      </c>
      <c r="E162" s="1" t="n">
        <v>46275</v>
      </c>
      <c r="F162" t="inlineStr">
        <is>
          <t>ÖREBRO LÄN</t>
        </is>
      </c>
      <c r="G162" t="inlineStr">
        <is>
          <t>NORA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24818-2024</t>
        </is>
      </c>
      <c r="B163" t="inlineStr">
        <is>
          <t>avverkningsanmälan</t>
        </is>
      </c>
      <c r="C163" t="inlineStr">
        <is>
          <t>Föryngringsavverkning</t>
        </is>
      </c>
      <c r="D163" s="1" t="n">
        <v>45461</v>
      </c>
      <c r="E163" s="1" t="n">
        <v>46275</v>
      </c>
      <c r="F163" t="inlineStr">
        <is>
          <t>ÖREBRO LÄN</t>
        </is>
      </c>
      <c r="G163" t="inlineStr">
        <is>
          <t>NORA</t>
        </is>
      </c>
      <c r="I163" t="n">
        <v>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42056-2025</t>
        </is>
      </c>
      <c r="B164" t="inlineStr">
        <is>
          <t>avverkningsanmälan</t>
        </is>
      </c>
      <c r="C164" t="inlineStr">
        <is>
          <t>Föryngringsavverkning</t>
        </is>
      </c>
      <c r="D164" s="1" t="n">
        <v>45903</v>
      </c>
      <c r="E164" s="1" t="n">
        <v>46275</v>
      </c>
      <c r="F164" t="inlineStr">
        <is>
          <t>ÖREBRO LÄN</t>
        </is>
      </c>
      <c r="G164" t="inlineStr">
        <is>
          <t>NORA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62217-2023</t>
        </is>
      </c>
      <c r="B165" t="inlineStr">
        <is>
          <t>avverkningsanmälan</t>
        </is>
      </c>
      <c r="C165" t="inlineStr">
        <is>
          <t>Föryngringsavverkning</t>
        </is>
      </c>
      <c r="D165" s="1" t="n">
        <v>45267</v>
      </c>
      <c r="E165" s="1" t="n">
        <v>46275</v>
      </c>
      <c r="F165" t="inlineStr">
        <is>
          <t>ÖREBRO LÄN</t>
        </is>
      </c>
      <c r="G165" t="inlineStr">
        <is>
          <t>NORA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49632-2022</t>
        </is>
      </c>
      <c r="B166" t="inlineStr">
        <is>
          <t>avverkningsanmälan</t>
        </is>
      </c>
      <c r="C166" t="inlineStr">
        <is>
          <t>Föryngringsavverkning</t>
        </is>
      </c>
      <c r="D166" s="1" t="n">
        <v>44862</v>
      </c>
      <c r="E166" s="1" t="n">
        <v>46275</v>
      </c>
      <c r="F166" t="inlineStr">
        <is>
          <t>ÖREBRO LÄN</t>
        </is>
      </c>
      <c r="G166" t="inlineStr">
        <is>
          <t>NORA</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34835-2025</t>
        </is>
      </c>
      <c r="B167" t="inlineStr">
        <is>
          <t>avverkningsanmälan</t>
        </is>
      </c>
      <c r="C167" t="inlineStr">
        <is>
          <t>Föryngringsavverkning</t>
        </is>
      </c>
      <c r="D167" s="1" t="n">
        <v>45849</v>
      </c>
      <c r="E167" s="1" t="n">
        <v>46275</v>
      </c>
      <c r="F167" t="inlineStr">
        <is>
          <t>ÖREBRO LÄN</t>
        </is>
      </c>
      <c r="G167" t="inlineStr">
        <is>
          <t>NORA</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62592-2021</t>
        </is>
      </c>
      <c r="B168" t="inlineStr">
        <is>
          <t>avverkningsanmälan</t>
        </is>
      </c>
      <c r="C168" t="inlineStr">
        <is>
          <t>Föryngringsavverkning</t>
        </is>
      </c>
      <c r="D168" s="1" t="n">
        <v>44503</v>
      </c>
      <c r="E168" s="1" t="n">
        <v>46275</v>
      </c>
      <c r="F168" t="inlineStr">
        <is>
          <t>ÖREBRO LÄN</t>
        </is>
      </c>
      <c r="G168" t="inlineStr">
        <is>
          <t>NORA</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49498-2024</t>
        </is>
      </c>
      <c r="B169" t="inlineStr">
        <is>
          <t>avverkningsanmälan</t>
        </is>
      </c>
      <c r="C169" t="inlineStr">
        <is>
          <t>Föryngringsavverkning</t>
        </is>
      </c>
      <c r="D169" s="1" t="n">
        <v>45596</v>
      </c>
      <c r="E169" s="1" t="n">
        <v>46275</v>
      </c>
      <c r="F169" t="inlineStr">
        <is>
          <t>ÖREBRO LÄN</t>
        </is>
      </c>
      <c r="G169" t="inlineStr">
        <is>
          <t>NORA</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16957-2025</t>
        </is>
      </c>
      <c r="B170" t="inlineStr">
        <is>
          <t>avverkningsanmälan</t>
        </is>
      </c>
      <c r="C170" t="inlineStr">
        <is>
          <t>Föryngringsavverkning</t>
        </is>
      </c>
      <c r="D170" s="1" t="n">
        <v>45755</v>
      </c>
      <c r="E170" s="1" t="n">
        <v>46275</v>
      </c>
      <c r="F170" t="inlineStr">
        <is>
          <t>ÖREBRO LÄN</t>
        </is>
      </c>
      <c r="G170" t="inlineStr">
        <is>
          <t>NORA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29669-2025</t>
        </is>
      </c>
      <c r="B171" t="inlineStr">
        <is>
          <t>avverkningsanmälan</t>
        </is>
      </c>
      <c r="C171" t="inlineStr">
        <is>
          <t>Föryngringsavverkning</t>
        </is>
      </c>
      <c r="D171" s="1" t="n">
        <v>45825</v>
      </c>
      <c r="E171" s="1" t="n">
        <v>46275</v>
      </c>
      <c r="F171" t="inlineStr">
        <is>
          <t>ÖREBRO LÄN</t>
        </is>
      </c>
      <c r="G171" t="inlineStr">
        <is>
          <t>NORA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49671-2025</t>
        </is>
      </c>
      <c r="B172" t="inlineStr">
        <is>
          <t>avverkningsanmälan</t>
        </is>
      </c>
      <c r="C172" t="inlineStr">
        <is>
          <t>Avverkning för annat ändamål</t>
        </is>
      </c>
      <c r="D172" s="1" t="n">
        <v>45939</v>
      </c>
      <c r="E172" s="1" t="n">
        <v>46275</v>
      </c>
      <c r="F172" t="inlineStr">
        <is>
          <t>ÖREBRO LÄN</t>
        </is>
      </c>
      <c r="G172" t="inlineStr">
        <is>
          <t>NORA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26023-2023</t>
        </is>
      </c>
      <c r="B173" t="inlineStr">
        <is>
          <t>avverkningsanmälan</t>
        </is>
      </c>
      <c r="C173" t="inlineStr">
        <is>
          <t>Föryngringsavverkning</t>
        </is>
      </c>
      <c r="D173" s="1" t="n">
        <v>45091</v>
      </c>
      <c r="E173" s="1" t="n">
        <v>46275</v>
      </c>
      <c r="F173" t="inlineStr">
        <is>
          <t>ÖREBRO LÄN</t>
        </is>
      </c>
      <c r="G173" t="inlineStr">
        <is>
          <t>NORA</t>
        </is>
      </c>
      <c r="H173" t="inlineStr">
        <is>
          <t>Kyrkan</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51002-2025</t>
        </is>
      </c>
      <c r="B174" t="inlineStr">
        <is>
          <t>avverkningsanmälan</t>
        </is>
      </c>
      <c r="C174" t="inlineStr">
        <is>
          <t>Föryngringsavverkning</t>
        </is>
      </c>
      <c r="D174" s="1" t="n">
        <v>45947</v>
      </c>
      <c r="E174" s="1" t="n">
        <v>46275</v>
      </c>
      <c r="F174" t="inlineStr">
        <is>
          <t>ÖREBRO LÄN</t>
        </is>
      </c>
      <c r="G174" t="inlineStr">
        <is>
          <t>NORA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57316-2022</t>
        </is>
      </c>
      <c r="B175" t="inlineStr">
        <is>
          <t>avverkningsanmälan</t>
        </is>
      </c>
      <c r="C175" t="inlineStr">
        <is>
          <t>Föryngringsavverkning</t>
        </is>
      </c>
      <c r="D175" s="1" t="n">
        <v>44896</v>
      </c>
      <c r="E175" s="1" t="n">
        <v>46275</v>
      </c>
      <c r="F175" t="inlineStr">
        <is>
          <t>ÖREBRO LÄN</t>
        </is>
      </c>
      <c r="G175" t="inlineStr">
        <is>
          <t>NORA</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48610-2023</t>
        </is>
      </c>
      <c r="B176" t="inlineStr">
        <is>
          <t>avverkningsanmälan</t>
        </is>
      </c>
      <c r="C176" t="inlineStr">
        <is>
          <t>Föryngringsavverkning</t>
        </is>
      </c>
      <c r="D176" s="1" t="n">
        <v>45208</v>
      </c>
      <c r="E176" s="1" t="n">
        <v>46275</v>
      </c>
      <c r="F176" t="inlineStr">
        <is>
          <t>ÖREBRO LÄN</t>
        </is>
      </c>
      <c r="G176" t="inlineStr">
        <is>
          <t>NORA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24832-2024</t>
        </is>
      </c>
      <c r="B177" t="inlineStr">
        <is>
          <t>avverkningsanmälan</t>
        </is>
      </c>
      <c r="C177" t="inlineStr">
        <is>
          <t>Föryngringsavverkning</t>
        </is>
      </c>
      <c r="D177" s="1" t="n">
        <v>45461</v>
      </c>
      <c r="E177" s="1" t="n">
        <v>46275</v>
      </c>
      <c r="F177" t="inlineStr">
        <is>
          <t>ÖREBRO LÄN</t>
        </is>
      </c>
      <c r="G177" t="inlineStr">
        <is>
          <t>NORA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52380-2025</t>
        </is>
      </c>
      <c r="B178" t="inlineStr">
        <is>
          <t>avverkningsanmälan</t>
        </is>
      </c>
      <c r="C178" t="inlineStr">
        <is>
          <t>Avverkning för att bevara och utveckla /försöksver</t>
        </is>
      </c>
      <c r="D178" s="1" t="n">
        <v>45953</v>
      </c>
      <c r="E178" s="1" t="n">
        <v>46275</v>
      </c>
      <c r="F178" t="inlineStr">
        <is>
          <t>ÖREBRO LÄN</t>
        </is>
      </c>
      <c r="G178" t="inlineStr">
        <is>
          <t>NORA</t>
        </is>
      </c>
      <c r="H178" t="inlineStr">
        <is>
          <t>Sveaskog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34164-2022</t>
        </is>
      </c>
      <c r="B179" t="inlineStr">
        <is>
          <t>avverkningsanmälan</t>
        </is>
      </c>
      <c r="C179" t="inlineStr">
        <is>
          <t>Föryngringsavverkning</t>
        </is>
      </c>
      <c r="D179" s="1" t="n">
        <v>44791</v>
      </c>
      <c r="E179" s="1" t="n">
        <v>46275</v>
      </c>
      <c r="F179" t="inlineStr">
        <is>
          <t>ÖREBRO LÄN</t>
        </is>
      </c>
      <c r="G179" t="inlineStr">
        <is>
          <t>NORA</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54595-2025</t>
        </is>
      </c>
      <c r="B180" t="inlineStr">
        <is>
          <t>avverkningsanmälan</t>
        </is>
      </c>
      <c r="C180" t="inlineStr">
        <is>
          <t>Föryngringsavverkning</t>
        </is>
      </c>
      <c r="D180" s="1" t="n">
        <v>45965</v>
      </c>
      <c r="E180" s="1" t="n">
        <v>46275</v>
      </c>
      <c r="F180" t="inlineStr">
        <is>
          <t>ÖREBRO LÄN</t>
        </is>
      </c>
      <c r="G180" t="inlineStr">
        <is>
          <t>NORA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52379-2023</t>
        </is>
      </c>
      <c r="B181" t="inlineStr">
        <is>
          <t>avverkningsanmälan</t>
        </is>
      </c>
      <c r="C181" t="inlineStr">
        <is>
          <t>Föryngringsavverkning</t>
        </is>
      </c>
      <c r="D181" s="1" t="n">
        <v>45224</v>
      </c>
      <c r="E181" s="1" t="n">
        <v>46275</v>
      </c>
      <c r="F181" t="inlineStr">
        <is>
          <t>ÖREBRO LÄN</t>
        </is>
      </c>
      <c r="G181" t="inlineStr">
        <is>
          <t>NORA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58521-2025</t>
        </is>
      </c>
      <c r="B182" t="inlineStr">
        <is>
          <t>avverkningsanmälan</t>
        </is>
      </c>
      <c r="C182" t="inlineStr">
        <is>
          <t>Föryngringsavverkning</t>
        </is>
      </c>
      <c r="D182" s="1" t="n">
        <v>45985</v>
      </c>
      <c r="E182" s="1" t="n">
        <v>46275</v>
      </c>
      <c r="F182" t="inlineStr">
        <is>
          <t>ÖREBRO LÄN</t>
        </is>
      </c>
      <c r="G182" t="inlineStr">
        <is>
          <t>NORA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5674-2023</t>
        </is>
      </c>
      <c r="B183" t="inlineStr">
        <is>
          <t>avverkningsanmälan</t>
        </is>
      </c>
      <c r="C183" t="inlineStr">
        <is>
          <t>Föryngringsavverkning</t>
        </is>
      </c>
      <c r="D183" s="1" t="n">
        <v>44960</v>
      </c>
      <c r="E183" s="1" t="n">
        <v>46275</v>
      </c>
      <c r="F183" t="inlineStr">
        <is>
          <t>ÖREBRO LÄN</t>
        </is>
      </c>
      <c r="G183" t="inlineStr">
        <is>
          <t>NORA</t>
        </is>
      </c>
      <c r="H183" t="inlineStr">
        <is>
          <t>Kyrkan</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35675-2023</t>
        </is>
      </c>
      <c r="B184" t="inlineStr">
        <is>
          <t>avverkningsanmälan</t>
        </is>
      </c>
      <c r="C184" t="inlineStr">
        <is>
          <t>Föryngringsavverkning</t>
        </is>
      </c>
      <c r="D184" s="1" t="n">
        <v>45147</v>
      </c>
      <c r="E184" s="1" t="n">
        <v>46275</v>
      </c>
      <c r="F184" t="inlineStr">
        <is>
          <t>ÖREBRO LÄN</t>
        </is>
      </c>
      <c r="G184" t="inlineStr">
        <is>
          <t>NORA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60152-2025</t>
        </is>
      </c>
      <c r="B185" t="inlineStr">
        <is>
          <t>avverkningsanmälan</t>
        </is>
      </c>
      <c r="C185" t="inlineStr">
        <is>
          <t>Föryngringsavverkning</t>
        </is>
      </c>
      <c r="D185" s="1" t="n">
        <v>45994</v>
      </c>
      <c r="E185" s="1" t="n">
        <v>46275</v>
      </c>
      <c r="F185" t="inlineStr">
        <is>
          <t>ÖREBRO LÄN</t>
        </is>
      </c>
      <c r="G185" t="inlineStr">
        <is>
          <t>NORA</t>
        </is>
      </c>
      <c r="I185" t="n">
        <v>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60166-2025</t>
        </is>
      </c>
      <c r="B186" t="inlineStr">
        <is>
          <t>avverkningsanmälan</t>
        </is>
      </c>
      <c r="C186" t="inlineStr">
        <is>
          <t>Föryngringsavverkning</t>
        </is>
      </c>
      <c r="D186" s="1" t="n">
        <v>45994</v>
      </c>
      <c r="E186" s="1" t="n">
        <v>46275</v>
      </c>
      <c r="F186" t="inlineStr">
        <is>
          <t>ÖREBRO LÄN</t>
        </is>
      </c>
      <c r="G186" t="inlineStr">
        <is>
          <t>NORA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24821-2024</t>
        </is>
      </c>
      <c r="B187" t="inlineStr">
        <is>
          <t>avverkningsanmälan</t>
        </is>
      </c>
      <c r="C187" t="inlineStr">
        <is>
          <t>Föryngringsavverkning</t>
        </is>
      </c>
      <c r="D187" s="1" t="n">
        <v>45461</v>
      </c>
      <c r="E187" s="1" t="n">
        <v>46275</v>
      </c>
      <c r="F187" t="inlineStr">
        <is>
          <t>ÖREBRO LÄN</t>
        </is>
      </c>
      <c r="G187" t="inlineStr">
        <is>
          <t>NORA</t>
        </is>
      </c>
      <c r="I187" t="n">
        <v>12.2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61952-2023</t>
        </is>
      </c>
      <c r="B188" t="inlineStr">
        <is>
          <t>avverkningsanmälan</t>
        </is>
      </c>
      <c r="C188" t="inlineStr">
        <is>
          <t>Föryngringsavverkning</t>
        </is>
      </c>
      <c r="D188" s="1" t="n">
        <v>45266</v>
      </c>
      <c r="E188" s="1" t="n">
        <v>46275</v>
      </c>
      <c r="F188" t="inlineStr">
        <is>
          <t>ÖREBRO LÄN</t>
        </is>
      </c>
      <c r="G188" t="inlineStr">
        <is>
          <t>NORA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1766-2026</t>
        </is>
      </c>
      <c r="B189" t="inlineStr">
        <is>
          <t>avverkningsanmälan</t>
        </is>
      </c>
      <c r="C189" t="inlineStr">
        <is>
          <t>Föryngringsavverkning</t>
        </is>
      </c>
      <c r="D189" s="1" t="n">
        <v>46034</v>
      </c>
      <c r="E189" s="1" t="n">
        <v>46275</v>
      </c>
      <c r="F189" t="inlineStr">
        <is>
          <t>ÖREBRO LÄN</t>
        </is>
      </c>
      <c r="G189" t="inlineStr">
        <is>
          <t>NORA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3686-2026</t>
        </is>
      </c>
      <c r="B190" t="inlineStr">
        <is>
          <t>avverkningsanmälan</t>
        </is>
      </c>
      <c r="C190" t="inlineStr">
        <is>
          <t>Föryngringsavverkning</t>
        </is>
      </c>
      <c r="D190" s="1" t="n">
        <v>46043</v>
      </c>
      <c r="E190" s="1" t="n">
        <v>46275</v>
      </c>
      <c r="F190" t="inlineStr">
        <is>
          <t>ÖREBRO LÄN</t>
        </is>
      </c>
      <c r="G190" t="inlineStr">
        <is>
          <t>NORA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10441-2026</t>
        </is>
      </c>
      <c r="B191" t="inlineStr">
        <is>
          <t>avverkningsanmälan</t>
        </is>
      </c>
      <c r="C191" t="inlineStr">
        <is>
          <t>Föryngringsavverkning</t>
        </is>
      </c>
      <c r="D191" s="1" t="n">
        <v>46076</v>
      </c>
      <c r="E191" s="1" t="n">
        <v>46275</v>
      </c>
      <c r="F191" t="inlineStr">
        <is>
          <t>ÖREBRO LÄN</t>
        </is>
      </c>
      <c r="G191" t="inlineStr">
        <is>
          <t>NORA</t>
        </is>
      </c>
      <c r="H191" t="inlineStr">
        <is>
          <t>Övriga Aktiebolag</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64026-2025</t>
        </is>
      </c>
      <c r="B192" t="inlineStr">
        <is>
          <t>avverkningsanmälan</t>
        </is>
      </c>
      <c r="C192" t="inlineStr">
        <is>
          <t>Föryngringsavverkning</t>
        </is>
      </c>
      <c r="D192" s="1" t="n">
        <v>46021</v>
      </c>
      <c r="E192" s="1" t="n">
        <v>46275</v>
      </c>
      <c r="F192" t="inlineStr">
        <is>
          <t>ÖREBRO LÄN</t>
        </is>
      </c>
      <c r="G192" t="inlineStr">
        <is>
          <t>NORA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14242-2026</t>
        </is>
      </c>
      <c r="B193" t="inlineStr">
        <is>
          <t>avverkningsanmälan</t>
        </is>
      </c>
      <c r="C193" t="inlineStr">
        <is>
          <t>Föryngringsavverkning</t>
        </is>
      </c>
      <c r="D193" s="1" t="n">
        <v>46099</v>
      </c>
      <c r="E193" s="1" t="n">
        <v>46275</v>
      </c>
      <c r="F193" t="inlineStr">
        <is>
          <t>ÖREBRO LÄN</t>
        </is>
      </c>
      <c r="G193" t="inlineStr">
        <is>
          <t>NORA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14253-2026</t>
        </is>
      </c>
      <c r="B194" t="inlineStr">
        <is>
          <t>avverkningsanmälan</t>
        </is>
      </c>
      <c r="C194" t="inlineStr">
        <is>
          <t>Föryngringsavverkning</t>
        </is>
      </c>
      <c r="D194" s="1" t="n">
        <v>46099</v>
      </c>
      <c r="E194" s="1" t="n">
        <v>46275</v>
      </c>
      <c r="F194" t="inlineStr">
        <is>
          <t>ÖREBRO LÄN</t>
        </is>
      </c>
      <c r="G194" t="inlineStr">
        <is>
          <t>NORA</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15702-2026</t>
        </is>
      </c>
      <c r="B195" t="inlineStr">
        <is>
          <t>avverkningsanmälan</t>
        </is>
      </c>
      <c r="C195" t="inlineStr">
        <is>
          <t>Föryngringsavverkning</t>
        </is>
      </c>
      <c r="D195" s="1" t="n">
        <v>46107</v>
      </c>
      <c r="E195" s="1" t="n">
        <v>46275</v>
      </c>
      <c r="F195" t="inlineStr">
        <is>
          <t>ÖREBRO LÄN</t>
        </is>
      </c>
      <c r="G195" t="inlineStr">
        <is>
          <t>NORA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15712-2026</t>
        </is>
      </c>
      <c r="B196" t="inlineStr">
        <is>
          <t>avverkningsanmälan</t>
        </is>
      </c>
      <c r="C196" t="inlineStr">
        <is>
          <t>Föryngringsavverkning</t>
        </is>
      </c>
      <c r="D196" s="1" t="n">
        <v>46107</v>
      </c>
      <c r="E196" s="1" t="n">
        <v>46275</v>
      </c>
      <c r="F196" t="inlineStr">
        <is>
          <t>ÖREBRO LÄN</t>
        </is>
      </c>
      <c r="G196" t="inlineStr">
        <is>
          <t>NORA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15692-2026</t>
        </is>
      </c>
      <c r="B197" t="inlineStr">
        <is>
          <t>avverkningsanmälan</t>
        </is>
      </c>
      <c r="C197" t="inlineStr">
        <is>
          <t>Föryngringsavverkning</t>
        </is>
      </c>
      <c r="D197" s="1" t="n">
        <v>46107</v>
      </c>
      <c r="E197" s="1" t="n">
        <v>46275</v>
      </c>
      <c r="F197" t="inlineStr">
        <is>
          <t>ÖREBRO LÄN</t>
        </is>
      </c>
      <c r="G197" t="inlineStr">
        <is>
          <t>NORA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16813-2026</t>
        </is>
      </c>
      <c r="B198" t="inlineStr">
        <is>
          <t>avverkningsanmälan</t>
        </is>
      </c>
      <c r="C198" t="inlineStr">
        <is>
          <t>Föryngringsavverkning</t>
        </is>
      </c>
      <c r="D198" s="1" t="n">
        <v>46113</v>
      </c>
      <c r="E198" s="1" t="n">
        <v>46275</v>
      </c>
      <c r="F198" t="inlineStr">
        <is>
          <t>ÖREBRO LÄN</t>
        </is>
      </c>
      <c r="G198" t="inlineStr">
        <is>
          <t>NORA</t>
        </is>
      </c>
      <c r="H198" t="inlineStr">
        <is>
          <t>Sveaskog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16815-2026</t>
        </is>
      </c>
      <c r="B199" t="inlineStr">
        <is>
          <t>avverkningsanmälan</t>
        </is>
      </c>
      <c r="C199" t="inlineStr">
        <is>
          <t>Föryngringsavverkning</t>
        </is>
      </c>
      <c r="D199" s="1" t="n">
        <v>46113</v>
      </c>
      <c r="E199" s="1" t="n">
        <v>46275</v>
      </c>
      <c r="F199" t="inlineStr">
        <is>
          <t>ÖREBRO LÄN</t>
        </is>
      </c>
      <c r="G199" t="inlineStr">
        <is>
          <t>NORA</t>
        </is>
      </c>
      <c r="H199" t="inlineStr">
        <is>
          <t>Sveaskog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16816-2026</t>
        </is>
      </c>
      <c r="B200" t="inlineStr">
        <is>
          <t>avverkningsanmälan</t>
        </is>
      </c>
      <c r="C200" t="inlineStr">
        <is>
          <t>Föryngringsavverkning</t>
        </is>
      </c>
      <c r="D200" s="1" t="n">
        <v>46113</v>
      </c>
      <c r="E200" s="1" t="n">
        <v>46275</v>
      </c>
      <c r="F200" t="inlineStr">
        <is>
          <t>ÖREBRO LÄN</t>
        </is>
      </c>
      <c r="G200" t="inlineStr">
        <is>
          <t>NORA</t>
        </is>
      </c>
      <c r="H200" t="inlineStr">
        <is>
          <t>Sveaskog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16810-2026</t>
        </is>
      </c>
      <c r="B201" t="inlineStr">
        <is>
          <t>avverkningsanmälan</t>
        </is>
      </c>
      <c r="C201" t="inlineStr">
        <is>
          <t>Föryngringsavverkning</t>
        </is>
      </c>
      <c r="D201" s="1" t="n">
        <v>46113</v>
      </c>
      <c r="E201" s="1" t="n">
        <v>46275</v>
      </c>
      <c r="F201" t="inlineStr">
        <is>
          <t>ÖREBRO LÄN</t>
        </is>
      </c>
      <c r="G201" t="inlineStr">
        <is>
          <t>NORA</t>
        </is>
      </c>
      <c r="H201" t="inlineStr">
        <is>
          <t>Sveaskog</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16811-2026</t>
        </is>
      </c>
      <c r="B202" t="inlineStr">
        <is>
          <t>avverkningsanmälan</t>
        </is>
      </c>
      <c r="C202" t="inlineStr">
        <is>
          <t>Föryngringsavverkning</t>
        </is>
      </c>
      <c r="D202" s="1" t="n">
        <v>46113</v>
      </c>
      <c r="E202" s="1" t="n">
        <v>46275</v>
      </c>
      <c r="F202" t="inlineStr">
        <is>
          <t>ÖREBRO LÄN</t>
        </is>
      </c>
      <c r="G202" t="inlineStr">
        <is>
          <t>NORA</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16808-2026</t>
        </is>
      </c>
      <c r="B203" t="inlineStr">
        <is>
          <t>avverkningsanmälan</t>
        </is>
      </c>
      <c r="C203" t="inlineStr">
        <is>
          <t>Föryngringsavverkning</t>
        </is>
      </c>
      <c r="D203" s="1" t="n">
        <v>46113</v>
      </c>
      <c r="E203" s="1" t="n">
        <v>46275</v>
      </c>
      <c r="F203" t="inlineStr">
        <is>
          <t>ÖREBRO LÄN</t>
        </is>
      </c>
      <c r="G203" t="inlineStr">
        <is>
          <t>NORA</t>
        </is>
      </c>
      <c r="H203" t="inlineStr">
        <is>
          <t>Sveaskog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16814-2026</t>
        </is>
      </c>
      <c r="B204" t="inlineStr">
        <is>
          <t>avverkningsanmälan</t>
        </is>
      </c>
      <c r="C204" t="inlineStr">
        <is>
          <t>Föryngringsavverkning</t>
        </is>
      </c>
      <c r="D204" s="1" t="n">
        <v>46113</v>
      </c>
      <c r="E204" s="1" t="n">
        <v>46275</v>
      </c>
      <c r="F204" t="inlineStr">
        <is>
          <t>ÖREBRO LÄN</t>
        </is>
      </c>
      <c r="G204" t="inlineStr">
        <is>
          <t>NORA</t>
        </is>
      </c>
      <c r="H204" t="inlineStr">
        <is>
          <t>Sveaskog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19501-2026</t>
        </is>
      </c>
      <c r="B205" t="inlineStr">
        <is>
          <t>avverkningsanmälan</t>
        </is>
      </c>
      <c r="C205" t="inlineStr">
        <is>
          <t>Föryngringsavverkning</t>
        </is>
      </c>
      <c r="D205" s="1" t="n">
        <v>46134</v>
      </c>
      <c r="E205" s="1" t="n">
        <v>46275</v>
      </c>
      <c r="F205" t="inlineStr">
        <is>
          <t>ÖREBRO LÄN</t>
        </is>
      </c>
      <c r="G205" t="inlineStr">
        <is>
          <t>NORA</t>
        </is>
      </c>
      <c r="H205" t="inlineStr">
        <is>
          <t>Sveaskog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19503-2026</t>
        </is>
      </c>
      <c r="B206" t="inlineStr">
        <is>
          <t>avverkningsanmälan</t>
        </is>
      </c>
      <c r="C206" t="inlineStr">
        <is>
          <t>Föryngringsavverkning</t>
        </is>
      </c>
      <c r="D206" s="1" t="n">
        <v>46134</v>
      </c>
      <c r="E206" s="1" t="n">
        <v>46275</v>
      </c>
      <c r="F206" t="inlineStr">
        <is>
          <t>ÖREBRO LÄN</t>
        </is>
      </c>
      <c r="G206" t="inlineStr">
        <is>
          <t>NORA</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19502-2026</t>
        </is>
      </c>
      <c r="B207" t="inlineStr">
        <is>
          <t>avverkningsanmälan</t>
        </is>
      </c>
      <c r="C207" t="inlineStr">
        <is>
          <t>Föryngringsavverkning</t>
        </is>
      </c>
      <c r="D207" s="1" t="n">
        <v>46134</v>
      </c>
      <c r="E207" s="1" t="n">
        <v>46275</v>
      </c>
      <c r="F207" t="inlineStr">
        <is>
          <t>ÖREBRO LÄN</t>
        </is>
      </c>
      <c r="G207" t="inlineStr">
        <is>
          <t>NORA</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19504-2026</t>
        </is>
      </c>
      <c r="B208" t="inlineStr">
        <is>
          <t>avverkningsanmälan</t>
        </is>
      </c>
      <c r="C208" t="inlineStr">
        <is>
          <t>Föryngringsavverkning</t>
        </is>
      </c>
      <c r="D208" s="1" t="n">
        <v>46134</v>
      </c>
      <c r="E208" s="1" t="n">
        <v>46275</v>
      </c>
      <c r="F208" t="inlineStr">
        <is>
          <t>ÖREBRO LÄN</t>
        </is>
      </c>
      <c r="G208" t="inlineStr">
        <is>
          <t>NORA</t>
        </is>
      </c>
      <c r="H208" t="inlineStr">
        <is>
          <t>Sveaskog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19505-2026</t>
        </is>
      </c>
      <c r="B209" t="inlineStr">
        <is>
          <t>avverkningsanmälan</t>
        </is>
      </c>
      <c r="C209" t="inlineStr">
        <is>
          <t>Föryngringsavverkning</t>
        </is>
      </c>
      <c r="D209" s="1" t="n">
        <v>46134</v>
      </c>
      <c r="E209" s="1" t="n">
        <v>46275</v>
      </c>
      <c r="F209" t="inlineStr">
        <is>
          <t>ÖREBRO LÄN</t>
        </is>
      </c>
      <c r="G209" t="inlineStr">
        <is>
          <t>NORA</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19509-2026</t>
        </is>
      </c>
      <c r="B210" t="inlineStr">
        <is>
          <t>avverkningsanmälan</t>
        </is>
      </c>
      <c r="C210" t="inlineStr">
        <is>
          <t>Föryngringsavverkning</t>
        </is>
      </c>
      <c r="D210" s="1" t="n">
        <v>46134</v>
      </c>
      <c r="E210" s="1" t="n">
        <v>46275</v>
      </c>
      <c r="F210" t="inlineStr">
        <is>
          <t>ÖREBRO LÄN</t>
        </is>
      </c>
      <c r="G210" t="inlineStr">
        <is>
          <t>NORA</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19510-2026</t>
        </is>
      </c>
      <c r="B211" t="inlineStr">
        <is>
          <t>avverkningsanmälan</t>
        </is>
      </c>
      <c r="C211" t="inlineStr">
        <is>
          <t>Föryngringsavverkning</t>
        </is>
      </c>
      <c r="D211" s="1" t="n">
        <v>46134</v>
      </c>
      <c r="E211" s="1" t="n">
        <v>46275</v>
      </c>
      <c r="F211" t="inlineStr">
        <is>
          <t>ÖREBRO LÄN</t>
        </is>
      </c>
      <c r="G211" t="inlineStr">
        <is>
          <t>NORA</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19512-2026</t>
        </is>
      </c>
      <c r="B212" t="inlineStr">
        <is>
          <t>avverkningsanmälan</t>
        </is>
      </c>
      <c r="C212" t="inlineStr">
        <is>
          <t>Föryngringsavverkning</t>
        </is>
      </c>
      <c r="D212" s="1" t="n">
        <v>46134</v>
      </c>
      <c r="E212" s="1" t="n">
        <v>46275</v>
      </c>
      <c r="F212" t="inlineStr">
        <is>
          <t>ÖREBRO LÄN</t>
        </is>
      </c>
      <c r="G212" t="inlineStr">
        <is>
          <t>NORA</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19553-2026</t>
        </is>
      </c>
      <c r="B213" t="inlineStr">
        <is>
          <t>avverkningsanmälan</t>
        </is>
      </c>
      <c r="C213" t="inlineStr">
        <is>
          <t>Föryngringsavverkning</t>
        </is>
      </c>
      <c r="D213" s="1" t="n">
        <v>46134</v>
      </c>
      <c r="E213" s="1" t="n">
        <v>46275</v>
      </c>
      <c r="F213" t="inlineStr">
        <is>
          <t>ÖREBRO LÄN</t>
        </is>
      </c>
      <c r="G213" t="inlineStr">
        <is>
          <t>NORA</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12183-2025</t>
        </is>
      </c>
      <c r="B214" t="inlineStr">
        <is>
          <t>avverkningsanmälan</t>
        </is>
      </c>
      <c r="C214" t="inlineStr">
        <is>
          <t>Föryngringsavverkning</t>
        </is>
      </c>
      <c r="D214" s="1" t="n">
        <v>45729</v>
      </c>
      <c r="E214" s="1" t="n">
        <v>46275</v>
      </c>
      <c r="F214" t="inlineStr">
        <is>
          <t>ÖREBRO LÄN</t>
        </is>
      </c>
      <c r="G214" t="inlineStr">
        <is>
          <t>NORA</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35656-2024</t>
        </is>
      </c>
      <c r="B215" t="inlineStr">
        <is>
          <t>avverkningsanmälan</t>
        </is>
      </c>
      <c r="C215" t="inlineStr">
        <is>
          <t>Avverkning för annat ändamål</t>
        </is>
      </c>
      <c r="D215" s="1" t="n">
        <v>45532</v>
      </c>
      <c r="E215" s="1" t="n">
        <v>46275</v>
      </c>
      <c r="F215" t="inlineStr">
        <is>
          <t>ÖREBRO LÄN</t>
        </is>
      </c>
      <c r="G215" t="inlineStr">
        <is>
          <t>NORA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21262-2026</t>
        </is>
      </c>
      <c r="B216" t="inlineStr">
        <is>
          <t>avverkningsanmälan</t>
        </is>
      </c>
      <c r="C216" t="inlineStr">
        <is>
          <t>Föryngringsavverkning</t>
        </is>
      </c>
      <c r="D216" s="1" t="n">
        <v>46147</v>
      </c>
      <c r="E216" s="1" t="n">
        <v>46275</v>
      </c>
      <c r="F216" t="inlineStr">
        <is>
          <t>ÖREBRO LÄN</t>
        </is>
      </c>
      <c r="G216" t="inlineStr">
        <is>
          <t>NORA</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21271-2026</t>
        </is>
      </c>
      <c r="B217" t="inlineStr">
        <is>
          <t>avverkningsanmälan</t>
        </is>
      </c>
      <c r="C217" t="inlineStr">
        <is>
          <t>Föryngringsavverkning</t>
        </is>
      </c>
      <c r="D217" s="1" t="n">
        <v>46147</v>
      </c>
      <c r="E217" s="1" t="n">
        <v>46275</v>
      </c>
      <c r="F217" t="inlineStr">
        <is>
          <t>ÖREBRO LÄN</t>
        </is>
      </c>
      <c r="G217" t="inlineStr">
        <is>
          <t>NORA</t>
        </is>
      </c>
      <c r="H217" t="inlineStr">
        <is>
          <t>Sveaskog</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21256-2026</t>
        </is>
      </c>
      <c r="B218" t="inlineStr">
        <is>
          <t>avverkningsanmälan</t>
        </is>
      </c>
      <c r="C218" t="inlineStr">
        <is>
          <t>Föryngringsavverkning</t>
        </is>
      </c>
      <c r="D218" s="1" t="n">
        <v>46147</v>
      </c>
      <c r="E218" s="1" t="n">
        <v>46275</v>
      </c>
      <c r="F218" t="inlineStr">
        <is>
          <t>ÖREBRO LÄN</t>
        </is>
      </c>
      <c r="G218" t="inlineStr">
        <is>
          <t>NORA</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21270-2026</t>
        </is>
      </c>
      <c r="B219" t="inlineStr">
        <is>
          <t>avverkningsanmälan</t>
        </is>
      </c>
      <c r="C219" t="inlineStr">
        <is>
          <t>Föryngringsavverkning</t>
        </is>
      </c>
      <c r="D219" s="1" t="n">
        <v>46147</v>
      </c>
      <c r="E219" s="1" t="n">
        <v>46275</v>
      </c>
      <c r="F219" t="inlineStr">
        <is>
          <t>ÖREBRO LÄN</t>
        </is>
      </c>
      <c r="G219" t="inlineStr">
        <is>
          <t>NORA</t>
        </is>
      </c>
      <c r="H219" t="inlineStr">
        <is>
          <t>Sveaskog</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21276-2026</t>
        </is>
      </c>
      <c r="B220" t="inlineStr">
        <is>
          <t>avverkningsanmälan</t>
        </is>
      </c>
      <c r="C220" t="inlineStr">
        <is>
          <t>Föryngringsavverkning</t>
        </is>
      </c>
      <c r="D220" s="1" t="n">
        <v>46147</v>
      </c>
      <c r="E220" s="1" t="n">
        <v>46275</v>
      </c>
      <c r="F220" t="inlineStr">
        <is>
          <t>ÖREBRO LÄN</t>
        </is>
      </c>
      <c r="G220" t="inlineStr">
        <is>
          <t>NORA</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49676-2025</t>
        </is>
      </c>
      <c r="B221" t="inlineStr">
        <is>
          <t>avverkningsanmälan</t>
        </is>
      </c>
      <c r="C221" t="inlineStr">
        <is>
          <t>Avverkning för annat ändamål</t>
        </is>
      </c>
      <c r="D221" s="1" t="n">
        <v>45939</v>
      </c>
      <c r="E221" s="1" t="n">
        <v>46275</v>
      </c>
      <c r="F221" t="inlineStr">
        <is>
          <t>ÖREBRO LÄN</t>
        </is>
      </c>
      <c r="G221" t="inlineStr">
        <is>
          <t>NORA</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22266-2026</t>
        </is>
      </c>
      <c r="B222" t="inlineStr">
        <is>
          <t>avverkningsanmälan</t>
        </is>
      </c>
      <c r="C222" t="inlineStr">
        <is>
          <t>Föryngringsavverkning</t>
        </is>
      </c>
      <c r="D222" s="1" t="n">
        <v>46154</v>
      </c>
      <c r="E222" s="1" t="n">
        <v>46275</v>
      </c>
      <c r="F222" t="inlineStr">
        <is>
          <t>ÖREBRO LÄN</t>
        </is>
      </c>
      <c r="G222" t="inlineStr">
        <is>
          <t>NORA</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22480-2026</t>
        </is>
      </c>
      <c r="B223" t="inlineStr">
        <is>
          <t>avverkningsanmälan</t>
        </is>
      </c>
      <c r="C223" t="inlineStr">
        <is>
          <t>Föryngringsavverkning</t>
        </is>
      </c>
      <c r="D223" s="1" t="n">
        <v>46155</v>
      </c>
      <c r="E223" s="1" t="n">
        <v>46275</v>
      </c>
      <c r="F223" t="inlineStr">
        <is>
          <t>ÖREBRO LÄN</t>
        </is>
      </c>
      <c r="G223" t="inlineStr">
        <is>
          <t>NORA</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34759-2024</t>
        </is>
      </c>
      <c r="B224" t="inlineStr">
        <is>
          <t>avverkningsanmälan</t>
        </is>
      </c>
      <c r="C224" t="inlineStr">
        <is>
          <t>Föryngringsavverkning</t>
        </is>
      </c>
      <c r="D224" s="1" t="n">
        <v>45526</v>
      </c>
      <c r="E224" s="1" t="n">
        <v>46275</v>
      </c>
      <c r="F224" t="inlineStr">
        <is>
          <t>ÖREBRO LÄN</t>
        </is>
      </c>
      <c r="G224" t="inlineStr">
        <is>
          <t>NORA</t>
        </is>
      </c>
      <c r="H224" t="inlineStr">
        <is>
          <t>Övriga Aktiebolag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22476-2026</t>
        </is>
      </c>
      <c r="B225" t="inlineStr">
        <is>
          <t>avverkningsanmälan</t>
        </is>
      </c>
      <c r="C225" t="inlineStr">
        <is>
          <t>Föryngringsavverkning</t>
        </is>
      </c>
      <c r="D225" s="1" t="n">
        <v>46155</v>
      </c>
      <c r="E225" s="1" t="n">
        <v>46275</v>
      </c>
      <c r="F225" t="inlineStr">
        <is>
          <t>ÖREBRO LÄN</t>
        </is>
      </c>
      <c r="G225" t="inlineStr">
        <is>
          <t>NORA</t>
        </is>
      </c>
      <c r="H225" t="inlineStr">
        <is>
          <t>Sveaskog</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22485-2026</t>
        </is>
      </c>
      <c r="B226" t="inlineStr">
        <is>
          <t>avverkningsanmälan</t>
        </is>
      </c>
      <c r="C226" t="inlineStr">
        <is>
          <t>Föryngringsavverkning</t>
        </is>
      </c>
      <c r="D226" s="1" t="n">
        <v>46155</v>
      </c>
      <c r="E226" s="1" t="n">
        <v>46275</v>
      </c>
      <c r="F226" t="inlineStr">
        <is>
          <t>ÖREBRO LÄN</t>
        </is>
      </c>
      <c r="G226" t="inlineStr">
        <is>
          <t>NORA</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47030-2025</t>
        </is>
      </c>
      <c r="B227" t="inlineStr">
        <is>
          <t>avverkningsanmälan</t>
        </is>
      </c>
      <c r="C227" t="inlineStr">
        <is>
          <t>Föryngringsavverkning</t>
        </is>
      </c>
      <c r="D227" s="1" t="n">
        <v>45929</v>
      </c>
      <c r="E227" s="1" t="n">
        <v>46275</v>
      </c>
      <c r="F227" t="inlineStr">
        <is>
          <t>ÖREBRO LÄN</t>
        </is>
      </c>
      <c r="G227" t="inlineStr">
        <is>
          <t>NORA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22474-2026</t>
        </is>
      </c>
      <c r="B228" t="inlineStr">
        <is>
          <t>avverkningsanmälan</t>
        </is>
      </c>
      <c r="C228" t="inlineStr">
        <is>
          <t>Föryngringsavverkning</t>
        </is>
      </c>
      <c r="D228" s="1" t="n">
        <v>46155</v>
      </c>
      <c r="E228" s="1" t="n">
        <v>46275</v>
      </c>
      <c r="F228" t="inlineStr">
        <is>
          <t>ÖREBRO LÄN</t>
        </is>
      </c>
      <c r="G228" t="inlineStr">
        <is>
          <t>NORA</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22478-2026</t>
        </is>
      </c>
      <c r="B229" t="inlineStr">
        <is>
          <t>avverkningsanmälan</t>
        </is>
      </c>
      <c r="C229" t="inlineStr">
        <is>
          <t>Föryngringsavverkning</t>
        </is>
      </c>
      <c r="D229" s="1" t="n">
        <v>46155</v>
      </c>
      <c r="E229" s="1" t="n">
        <v>46275</v>
      </c>
      <c r="F229" t="inlineStr">
        <is>
          <t>ÖREBRO LÄN</t>
        </is>
      </c>
      <c r="G229" t="inlineStr">
        <is>
          <t>NORA</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22481-2026</t>
        </is>
      </c>
      <c r="B230" t="inlineStr">
        <is>
          <t>avverkningsanmälan</t>
        </is>
      </c>
      <c r="C230" t="inlineStr">
        <is>
          <t>Föryngringsavverkning</t>
        </is>
      </c>
      <c r="D230" s="1" t="n">
        <v>46155</v>
      </c>
      <c r="E230" s="1" t="n">
        <v>46275</v>
      </c>
      <c r="F230" t="inlineStr">
        <is>
          <t>ÖREBRO LÄN</t>
        </is>
      </c>
      <c r="G230" t="inlineStr">
        <is>
          <t>NORA</t>
        </is>
      </c>
      <c r="H230" t="inlineStr">
        <is>
          <t>Sveaskog</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25486-2026</t>
        </is>
      </c>
      <c r="B231" t="inlineStr">
        <is>
          <t>avverkningsanmälan</t>
        </is>
      </c>
      <c r="C231" t="inlineStr">
        <is>
          <t>Föryngringsavverkning</t>
        </is>
      </c>
      <c r="D231" s="1" t="n">
        <v>46177</v>
      </c>
      <c r="E231" s="1" t="n">
        <v>46275</v>
      </c>
      <c r="F231" t="inlineStr">
        <is>
          <t>ÖREBRO LÄN</t>
        </is>
      </c>
      <c r="G231" t="inlineStr">
        <is>
          <t>NORA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32130-2026</t>
        </is>
      </c>
      <c r="B232" t="inlineStr">
        <is>
          <t>avverkningsanmälan</t>
        </is>
      </c>
      <c r="C232" t="inlineStr">
        <is>
          <t>Föryngringsavverkning</t>
        </is>
      </c>
      <c r="D232" s="1" t="n">
        <v>46234</v>
      </c>
      <c r="E232" s="1" t="n">
        <v>46275</v>
      </c>
      <c r="F232" t="inlineStr">
        <is>
          <t>ÖREBRO LÄN</t>
        </is>
      </c>
      <c r="G232" t="inlineStr">
        <is>
          <t>NORA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60548-2025</t>
        </is>
      </c>
      <c r="B233" t="inlineStr">
        <is>
          <t>avverkningsanmälan</t>
        </is>
      </c>
      <c r="C233" t="inlineStr">
        <is>
          <t>Föryngringsavverkning</t>
        </is>
      </c>
      <c r="D233" s="1" t="n">
        <v>45995</v>
      </c>
      <c r="E233" s="1" t="n">
        <v>46275</v>
      </c>
      <c r="F233" t="inlineStr">
        <is>
          <t>ÖREBRO LÄN</t>
        </is>
      </c>
      <c r="G233" t="inlineStr">
        <is>
          <t>NORA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32432-2026</t>
        </is>
      </c>
      <c r="B234" t="inlineStr">
        <is>
          <t>avverkningsanmälan</t>
        </is>
      </c>
      <c r="C234" t="inlineStr">
        <is>
          <t>Föryngringsavverkning</t>
        </is>
      </c>
      <c r="D234" s="1" t="n">
        <v>46239</v>
      </c>
      <c r="E234" s="1" t="n">
        <v>46275</v>
      </c>
      <c r="F234" t="inlineStr">
        <is>
          <t>ÖREBRO LÄN</t>
        </is>
      </c>
      <c r="G234" t="inlineStr">
        <is>
          <t>NORA</t>
        </is>
      </c>
      <c r="H234" t="inlineStr">
        <is>
          <t>Sveaskog</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29081-2026</t>
        </is>
      </c>
      <c r="B235" t="inlineStr">
        <is>
          <t>avverkningsanmälan</t>
        </is>
      </c>
      <c r="C235" t="inlineStr">
        <is>
          <t>Föryngringsavverkning</t>
        </is>
      </c>
      <c r="D235" s="1" t="n">
        <v>46199</v>
      </c>
      <c r="E235" s="1" t="n">
        <v>46275</v>
      </c>
      <c r="F235" t="inlineStr">
        <is>
          <t>ÖREBRO LÄN</t>
        </is>
      </c>
      <c r="G235" t="inlineStr">
        <is>
          <t>NORA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33145-2026</t>
        </is>
      </c>
      <c r="B236" t="inlineStr">
        <is>
          <t>avverkningsanmälan</t>
        </is>
      </c>
      <c r="C236" t="inlineStr">
        <is>
          <t>Föryngringsavverkning</t>
        </is>
      </c>
      <c r="D236" s="1" t="n">
        <v>46245</v>
      </c>
      <c r="E236" s="1" t="n">
        <v>46275</v>
      </c>
      <c r="F236" t="inlineStr">
        <is>
          <t>ÖREBRO LÄN</t>
        </is>
      </c>
      <c r="G236" t="inlineStr">
        <is>
          <t>NORA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30655-2026</t>
        </is>
      </c>
      <c r="B237" t="inlineStr">
        <is>
          <t>avverkningsanmälan</t>
        </is>
      </c>
      <c r="C237" t="inlineStr">
        <is>
          <t>Föryngringsavverkning</t>
        </is>
      </c>
      <c r="D237" s="1" t="n">
        <v>46211</v>
      </c>
      <c r="E237" s="1" t="n">
        <v>46275</v>
      </c>
      <c r="F237" t="inlineStr">
        <is>
          <t>ÖREBRO LÄN</t>
        </is>
      </c>
      <c r="G237" t="inlineStr">
        <is>
          <t>NORA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30648-2026</t>
        </is>
      </c>
      <c r="B238" t="inlineStr">
        <is>
          <t>avverkningsanmälan</t>
        </is>
      </c>
      <c r="C238" t="inlineStr">
        <is>
          <t>Föryngringsavverkning</t>
        </is>
      </c>
      <c r="D238" s="1" t="n">
        <v>46211</v>
      </c>
      <c r="E238" s="1" t="n">
        <v>46275</v>
      </c>
      <c r="F238" t="inlineStr">
        <is>
          <t>ÖREBRO LÄN</t>
        </is>
      </c>
      <c r="G238" t="inlineStr">
        <is>
          <t>NORA</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30649-2026</t>
        </is>
      </c>
      <c r="B239" t="inlineStr">
        <is>
          <t>avverkningsanmälan</t>
        </is>
      </c>
      <c r="C239" t="inlineStr">
        <is>
          <t>Föryngringsavverkning</t>
        </is>
      </c>
      <c r="D239" s="1" t="n">
        <v>46211</v>
      </c>
      <c r="E239" s="1" t="n">
        <v>46275</v>
      </c>
      <c r="F239" t="inlineStr">
        <is>
          <t>ÖREBRO LÄN</t>
        </is>
      </c>
      <c r="G239" t="inlineStr">
        <is>
          <t>NORA</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41588-2025</t>
        </is>
      </c>
      <c r="B240" t="inlineStr">
        <is>
          <t>avverkningsanmälan</t>
        </is>
      </c>
      <c r="C240" t="inlineStr">
        <is>
          <t>Föryngringsavverkning</t>
        </is>
      </c>
      <c r="D240" s="1" t="n">
        <v>45901</v>
      </c>
      <c r="E240" s="1" t="n">
        <v>46275</v>
      </c>
      <c r="F240" t="inlineStr">
        <is>
          <t>ÖREBRO LÄN</t>
        </is>
      </c>
      <c r="G240" t="inlineStr">
        <is>
          <t>NORA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30690-2026</t>
        </is>
      </c>
      <c r="B241" t="inlineStr">
        <is>
          <t>avverkningsanmälan</t>
        </is>
      </c>
      <c r="C241" t="inlineStr">
        <is>
          <t>Föryngringsavverkning</t>
        </is>
      </c>
      <c r="D241" s="1" t="n">
        <v>46211</v>
      </c>
      <c r="E241" s="1" t="n">
        <v>46275</v>
      </c>
      <c r="F241" t="inlineStr">
        <is>
          <t>ÖREBRO LÄN</t>
        </is>
      </c>
      <c r="G241" t="inlineStr">
        <is>
          <t>NORA</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34116-2026</t>
        </is>
      </c>
      <c r="B242" t="inlineStr">
        <is>
          <t>avverkningsanmälan</t>
        </is>
      </c>
      <c r="C242" t="inlineStr">
        <is>
          <t>Föryngringsavverkning</t>
        </is>
      </c>
      <c r="D242" s="1" t="n">
        <v>46253</v>
      </c>
      <c r="E242" s="1" t="n">
        <v>46275</v>
      </c>
      <c r="F242" t="inlineStr">
        <is>
          <t>ÖREBRO LÄN</t>
        </is>
      </c>
      <c r="G242" t="inlineStr">
        <is>
          <t>NORA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35632-2026</t>
        </is>
      </c>
      <c r="B243" t="inlineStr">
        <is>
          <t>avverkningsanmälan</t>
        </is>
      </c>
      <c r="C243" t="inlineStr">
        <is>
          <t>Föryngringsavverkning</t>
        </is>
      </c>
      <c r="D243" s="1" t="n">
        <v>46265</v>
      </c>
      <c r="E243" s="1" t="n">
        <v>46275</v>
      </c>
      <c r="F243" t="inlineStr">
        <is>
          <t>ÖREBRO LÄN</t>
        </is>
      </c>
      <c r="G243" t="inlineStr">
        <is>
          <t>NORA</t>
        </is>
      </c>
      <c r="H243" t="inlineStr">
        <is>
          <t>Sveaskog</t>
        </is>
      </c>
      <c r="I243" t="n">
        <v>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35631-2026</t>
        </is>
      </c>
      <c r="B244" t="inlineStr">
        <is>
          <t>avverkningsanmälan</t>
        </is>
      </c>
      <c r="C244" t="inlineStr">
        <is>
          <t>Föryngringsavverkning</t>
        </is>
      </c>
      <c r="D244" s="1" t="n">
        <v>46265</v>
      </c>
      <c r="E244" s="1" t="n">
        <v>46275</v>
      </c>
      <c r="F244" t="inlineStr">
        <is>
          <t>ÖREBRO LÄN</t>
        </is>
      </c>
      <c r="G244" t="inlineStr">
        <is>
          <t>NORA</t>
        </is>
      </c>
      <c r="H244" t="inlineStr">
        <is>
          <t>Sveaskog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35633-2026</t>
        </is>
      </c>
      <c r="B245" t="inlineStr">
        <is>
          <t>avverkningsanmälan</t>
        </is>
      </c>
      <c r="C245" t="inlineStr">
        <is>
          <t>Föryngringsavverkning</t>
        </is>
      </c>
      <c r="D245" s="1" t="n">
        <v>46265</v>
      </c>
      <c r="E245" s="1" t="n">
        <v>46275</v>
      </c>
      <c r="F245" t="inlineStr">
        <is>
          <t>ÖREBRO LÄN</t>
        </is>
      </c>
      <c r="G245" t="inlineStr">
        <is>
          <t>NORA</t>
        </is>
      </c>
      <c r="H245" t="inlineStr">
        <is>
          <t>Sveaskog</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35634-2026</t>
        </is>
      </c>
      <c r="B246" t="inlineStr">
        <is>
          <t>avverkningsanmälan</t>
        </is>
      </c>
      <c r="C246" t="inlineStr">
        <is>
          <t>Föryngringsavverkning</t>
        </is>
      </c>
      <c r="D246" s="1" t="n">
        <v>46265</v>
      </c>
      <c r="E246" s="1" t="n">
        <v>46275</v>
      </c>
      <c r="F246" t="inlineStr">
        <is>
          <t>ÖREBRO LÄN</t>
        </is>
      </c>
      <c r="G246" t="inlineStr">
        <is>
          <t>NORA</t>
        </is>
      </c>
      <c r="H246" t="inlineStr">
        <is>
          <t>Sveaskog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35627-2026</t>
        </is>
      </c>
      <c r="B247" t="inlineStr">
        <is>
          <t>avverkningsanmälan</t>
        </is>
      </c>
      <c r="C247" t="inlineStr">
        <is>
          <t>Föryngringsavverkning</t>
        </is>
      </c>
      <c r="D247" s="1" t="n">
        <v>46265</v>
      </c>
      <c r="E247" s="1" t="n">
        <v>46275</v>
      </c>
      <c r="F247" t="inlineStr">
        <is>
          <t>ÖREBRO LÄN</t>
        </is>
      </c>
      <c r="G247" t="inlineStr">
        <is>
          <t>NORA</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36309-2026</t>
        </is>
      </c>
      <c r="B248" t="inlineStr">
        <is>
          <t>avverkningsanmälan</t>
        </is>
      </c>
      <c r="C248" t="inlineStr">
        <is>
          <t>Föryngringsavverkning</t>
        </is>
      </c>
      <c r="D248" s="1" t="n">
        <v>46268</v>
      </c>
      <c r="E248" s="1" t="n">
        <v>46275</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31578-2026</t>
        </is>
      </c>
      <c r="B249" t="inlineStr">
        <is>
          <t>avverkningsanmälan</t>
        </is>
      </c>
      <c r="C249" t="inlineStr">
        <is>
          <t>Föryngringsavverkning</t>
        </is>
      </c>
      <c r="D249" s="1" t="n">
        <v>46224</v>
      </c>
      <c r="E249" s="1" t="n">
        <v>46275</v>
      </c>
      <c r="F249" t="inlineStr">
        <is>
          <t>ÖREBRO LÄN</t>
        </is>
      </c>
      <c r="G249" t="inlineStr">
        <is>
          <t>NORA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31579-2026</t>
        </is>
      </c>
      <c r="B250" t="inlineStr">
        <is>
          <t>avverkningsanmälan</t>
        </is>
      </c>
      <c r="C250" t="inlineStr">
        <is>
          <t>Föryngringsavverkning</t>
        </is>
      </c>
      <c r="D250" s="1" t="n">
        <v>46224</v>
      </c>
      <c r="E250" s="1" t="n">
        <v>46275</v>
      </c>
      <c r="F250" t="inlineStr">
        <is>
          <t>ÖREBRO LÄN</t>
        </is>
      </c>
      <c r="G250" t="inlineStr">
        <is>
          <t>NORA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217-2024</t>
        </is>
      </c>
      <c r="B251" t="inlineStr">
        <is>
          <t>samrådsanmälan</t>
        </is>
      </c>
      <c r="C251" t="inlineStr">
        <is>
          <t>Skogsgödsling</t>
        </is>
      </c>
      <c r="D251" s="1" t="n">
        <v>45316</v>
      </c>
      <c r="E251" s="1" t="n">
        <v>46275</v>
      </c>
      <c r="F251" t="inlineStr">
        <is>
          <t>ÖREBRO LÄN</t>
        </is>
      </c>
      <c r="G251" t="inlineStr">
        <is>
          <t>NORA</t>
        </is>
      </c>
      <c r="H251" t="inlineStr">
        <is>
          <t>Sveaskog</t>
        </is>
      </c>
      <c r="I251" t="n">
        <v>82.8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7040-2022</t>
        </is>
      </c>
      <c r="B252" t="inlineStr">
        <is>
          <t>samrådsanmälan</t>
        </is>
      </c>
      <c r="C252" t="inlineStr">
        <is>
          <t>Annan skogsbruksåtgärd</t>
        </is>
      </c>
      <c r="D252" s="1" t="n">
        <v>44904</v>
      </c>
      <c r="E252" s="1" t="n">
        <v>46275</v>
      </c>
      <c r="F252" t="inlineStr">
        <is>
          <t>ÖREBRO LÄN</t>
        </is>
      </c>
      <c r="G252" t="inlineStr">
        <is>
          <t>NORA</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2961-2025</t>
        </is>
      </c>
      <c r="B253" t="inlineStr">
        <is>
          <t>samrådsanmälan</t>
        </is>
      </c>
      <c r="C253" t="inlineStr">
        <is>
          <t>Annan skogsbruksåtgärd</t>
        </is>
      </c>
      <c r="D253" s="1" t="n">
        <v>45953</v>
      </c>
      <c r="E253" s="1" t="n">
        <v>46275</v>
      </c>
      <c r="F253" t="inlineStr">
        <is>
          <t>ÖREBRO LÄN</t>
        </is>
      </c>
      <c r="G253" t="inlineStr">
        <is>
          <t>NORA</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c r="A254" t="inlineStr">
        <is>
          <t>S 656-2026</t>
        </is>
      </c>
      <c r="B254" t="inlineStr">
        <is>
          <t>samrådsanmälan</t>
        </is>
      </c>
      <c r="C254" t="inlineStr">
        <is>
          <t>Skogsgödsling</t>
        </is>
      </c>
      <c r="D254" s="1" t="n">
        <v>46089</v>
      </c>
      <c r="E254" s="1" t="n">
        <v>46275</v>
      </c>
      <c r="F254" t="inlineStr">
        <is>
          <t>ÖREBRO LÄN</t>
        </is>
      </c>
      <c r="G254" t="inlineStr">
        <is>
          <t>NORA</t>
        </is>
      </c>
      <c r="H254" t="inlineStr">
        <is>
          <t>Naturvårdsverket</t>
        </is>
      </c>
      <c r="I254" t="n">
        <v>8.1</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2026-09-10T02:08:21Z</dcterms:created>
  <dcterms:modified xmlns:dcterms="http://purl.org/dc/terms/" xmlns:xsi="http://www.w3.org/2001/XMLSchema-instance" xsi:type="dcterms:W3CDTF">2026-09-10T02:08:21Z</dcterms:modified>
</cp:coreProperties>
</file>