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46180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46180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46180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16398-2025</t>
        </is>
      </c>
      <c r="B9" s="1" t="n">
        <v>45751.44270833334</v>
      </c>
      <c r="C9" s="1" t="n">
        <v>46180</v>
      </c>
      <c r="D9" t="inlineStr">
        <is>
          <t>ÖREBRO LÄN</t>
        </is>
      </c>
      <c r="E9" t="inlineStr">
        <is>
          <t>NORA</t>
        </is>
      </c>
      <c r="G9" t="n">
        <v>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Lakritsmusseron
Motaggsvamp
Skrovlig taggsvamp
Spillkråka
Dropptaggsvamp
Fjällig taggsvamp s.str.
Tjäder</t>
        </is>
      </c>
      <c r="S9">
        <f>HYPERLINK("https://klasma.github.io/Logging_1884/artfynd/A 16398-2025 artfynd.xlsx", "A 16398-2025")</f>
        <v/>
      </c>
      <c r="T9">
        <f>HYPERLINK("https://klasma.github.io/Logging_1884/kartor/A 16398-2025 karta.png", "A 16398-2025")</f>
        <v/>
      </c>
      <c r="V9">
        <f>HYPERLINK("https://klasma.github.io/Logging_1884/klagomål/A 16398-2025 FSC-klagomål.docx", "A 16398-2025")</f>
        <v/>
      </c>
      <c r="W9">
        <f>HYPERLINK("https://klasma.github.io/Logging_1884/klagomålsmail/A 16398-2025 FSC-klagomål mail.docx", "A 16398-2025")</f>
        <v/>
      </c>
      <c r="X9">
        <f>HYPERLINK("https://klasma.github.io/Logging_1884/tillsyn/A 16398-2025 tillsynsbegäran.docx", "A 16398-2025")</f>
        <v/>
      </c>
      <c r="Y9">
        <f>HYPERLINK("https://klasma.github.io/Logging_1884/tillsynsmail/A 16398-2025 tillsynsbegäran mail.docx", "A 16398-2025")</f>
        <v/>
      </c>
      <c r="Z9">
        <f>HYPERLINK("https://klasma.github.io/Logging_1884/fåglar/A 16398-2025 prioriterade fågelarter.docx", "A 16398-2025")</f>
        <v/>
      </c>
    </row>
    <row r="10" ht="15" customHeight="1">
      <c r="A10" t="inlineStr">
        <is>
          <t>A 44952-2021</t>
        </is>
      </c>
      <c r="B10" s="1" t="n">
        <v>44438</v>
      </c>
      <c r="C10" s="1" t="n">
        <v>46180</v>
      </c>
      <c r="D10" t="inlineStr">
        <is>
          <t>ÖREBRO LÄN</t>
        </is>
      </c>
      <c r="E10" t="inlineStr">
        <is>
          <t>NORA</t>
        </is>
      </c>
      <c r="G10" t="n">
        <v>1.6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Orange taggsvamp
Dropptaggsvamp
Rostfläck
Vedticka
Fläcknycklar</t>
        </is>
      </c>
      <c r="S10">
        <f>HYPERLINK("https://klasma.github.io/Logging_1884/artfynd/A 44952-2021 artfynd.xlsx", "A 44952-2021")</f>
        <v/>
      </c>
      <c r="T10">
        <f>HYPERLINK("https://klasma.github.io/Logging_1884/kartor/A 44952-2021 karta.png", "A 44952-2021")</f>
        <v/>
      </c>
      <c r="V10">
        <f>HYPERLINK("https://klasma.github.io/Logging_1884/klagomål/A 44952-2021 FSC-klagomål.docx", "A 44952-2021")</f>
        <v/>
      </c>
      <c r="W10">
        <f>HYPERLINK("https://klasma.github.io/Logging_1884/klagomålsmail/A 44952-2021 FSC-klagomål mail.docx", "A 44952-2021")</f>
        <v/>
      </c>
      <c r="X10">
        <f>HYPERLINK("https://klasma.github.io/Logging_1884/tillsyn/A 44952-2021 tillsynsbegäran.docx", "A 44952-2021")</f>
        <v/>
      </c>
      <c r="Y10">
        <f>HYPERLINK("https://klasma.github.io/Logging_1884/tillsynsmail/A 44952-2021 tillsynsbegäran mail.docx", "A 44952-2021")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46180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55852-2024</t>
        </is>
      </c>
      <c r="B12" s="1" t="n">
        <v>45623</v>
      </c>
      <c r="C12" s="1" t="n">
        <v>46180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7.7</v>
      </c>
      <c r="H12" t="n">
        <v>5</v>
      </c>
      <c r="I12" t="n">
        <v>1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6</v>
      </c>
      <c r="R12" s="2" t="inlineStr">
        <is>
          <t>Storspov
Stare
Tofsvipa
Fiskmås
Skrattmås
Tibast</t>
        </is>
      </c>
      <c r="S12">
        <f>HYPERLINK("https://klasma.github.io/Logging_1884/artfynd/A 55852-2024 artfynd.xlsx", "A 55852-2024")</f>
        <v/>
      </c>
      <c r="T12">
        <f>HYPERLINK("https://klasma.github.io/Logging_1884/kartor/A 55852-2024 karta.png", "A 55852-2024")</f>
        <v/>
      </c>
      <c r="V12">
        <f>HYPERLINK("https://klasma.github.io/Logging_1884/klagomål/A 55852-2024 FSC-klagomål.docx", "A 55852-2024")</f>
        <v/>
      </c>
      <c r="W12">
        <f>HYPERLINK("https://klasma.github.io/Logging_1884/klagomålsmail/A 55852-2024 FSC-klagomål mail.docx", "A 55852-2024")</f>
        <v/>
      </c>
      <c r="X12">
        <f>HYPERLINK("https://klasma.github.io/Logging_1884/tillsyn/A 55852-2024 tillsynsbegäran.docx", "A 55852-2024")</f>
        <v/>
      </c>
      <c r="Y12">
        <f>HYPERLINK("https://klasma.github.io/Logging_1884/tillsynsmail/A 55852-2024 tillsynsbegäran mail.docx", "A 55852-2024")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46180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Drillsnäppa
Gulsparv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  <c r="Z13">
        <f>HYPERLINK("https://klasma.github.io/Logging_1884/fåglar/A 60839-2021 prioriterade fågelarter.docx", "A 60839-2021")</f>
        <v/>
      </c>
    </row>
    <row r="14" ht="15" customHeight="1">
      <c r="A14" t="inlineStr">
        <is>
          <t>A 56950-2025</t>
        </is>
      </c>
      <c r="B14" s="1" t="n">
        <v>45978.64929398148</v>
      </c>
      <c r="C14" s="1" t="n">
        <v>46180</v>
      </c>
      <c r="D14" t="inlineStr">
        <is>
          <t>ÖREBRO LÄN</t>
        </is>
      </c>
      <c r="E14" t="inlineStr">
        <is>
          <t>NORA</t>
        </is>
      </c>
      <c r="F14" t="inlineStr">
        <is>
          <t>Övriga Aktiebolag</t>
        </is>
      </c>
      <c r="G14" t="n">
        <v>5.4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Spillkråka
Stjärntagging
Tretåig hackspett
Tjäder</t>
        </is>
      </c>
      <c r="S14">
        <f>HYPERLINK("https://klasma.github.io/Logging_1884/artfynd/A 56950-2025 artfynd.xlsx", "A 56950-2025")</f>
        <v/>
      </c>
      <c r="T14">
        <f>HYPERLINK("https://klasma.github.io/Logging_1884/kartor/A 56950-2025 karta.png", "A 56950-2025")</f>
        <v/>
      </c>
      <c r="V14">
        <f>HYPERLINK("https://klasma.github.io/Logging_1884/klagomål/A 56950-2025 FSC-klagomål.docx", "A 56950-2025")</f>
        <v/>
      </c>
      <c r="W14">
        <f>HYPERLINK("https://klasma.github.io/Logging_1884/klagomålsmail/A 56950-2025 FSC-klagomål mail.docx", "A 56950-2025")</f>
        <v/>
      </c>
      <c r="X14">
        <f>HYPERLINK("https://klasma.github.io/Logging_1884/tillsyn/A 56950-2025 tillsynsbegäran.docx", "A 56950-2025")</f>
        <v/>
      </c>
      <c r="Y14">
        <f>HYPERLINK("https://klasma.github.io/Logging_1884/tillsynsmail/A 56950-2025 tillsynsbegäran mail.docx", "A 56950-2025")</f>
        <v/>
      </c>
      <c r="Z14">
        <f>HYPERLINK("https://klasma.github.io/Logging_1884/fåglar/A 56950-2025 prioriterade fågelarter.docx", "A 56950-2025")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46180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46180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46180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39513-2025</t>
        </is>
      </c>
      <c r="B18" s="1" t="n">
        <v>45890.41581018519</v>
      </c>
      <c r="C18" s="1" t="n">
        <v>46180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39513-2025 artfynd.xlsx", "A 39513-2025")</f>
        <v/>
      </c>
      <c r="T18">
        <f>HYPERLINK("https://klasma.github.io/Logging_1884/kartor/A 39513-2025 karta.png", "A 39513-2025")</f>
        <v/>
      </c>
      <c r="V18">
        <f>HYPERLINK("https://klasma.github.io/Logging_1884/klagomål/A 39513-2025 FSC-klagomål.docx", "A 39513-2025")</f>
        <v/>
      </c>
      <c r="W18">
        <f>HYPERLINK("https://klasma.github.io/Logging_1884/klagomålsmail/A 39513-2025 FSC-klagomål mail.docx", "A 39513-2025")</f>
        <v/>
      </c>
      <c r="X18">
        <f>HYPERLINK("https://klasma.github.io/Logging_1884/tillsyn/A 39513-2025 tillsynsbegäran.docx", "A 39513-2025")</f>
        <v/>
      </c>
      <c r="Y18">
        <f>HYPERLINK("https://klasma.github.io/Logging_1884/tillsynsmail/A 39513-2025 tillsynsbegäran mail.docx", "A 39513-2025")</f>
        <v/>
      </c>
    </row>
    <row r="19" ht="15" customHeight="1">
      <c r="A19" t="inlineStr">
        <is>
          <t>A 53600-2025</t>
        </is>
      </c>
      <c r="B19" s="1" t="n">
        <v>45960</v>
      </c>
      <c r="C19" s="1" t="n">
        <v>46180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53600-2025 artfynd.xlsx", "A 53600-2025")</f>
        <v/>
      </c>
      <c r="T19">
        <f>HYPERLINK("https://klasma.github.io/Logging_1884/kartor/A 53600-2025 karta.png", "A 53600-2025")</f>
        <v/>
      </c>
      <c r="V19">
        <f>HYPERLINK("https://klasma.github.io/Logging_1884/klagomål/A 53600-2025 FSC-klagomål.docx", "A 53600-2025")</f>
        <v/>
      </c>
      <c r="W19">
        <f>HYPERLINK("https://klasma.github.io/Logging_1884/klagomålsmail/A 53600-2025 FSC-klagomål mail.docx", "A 53600-2025")</f>
        <v/>
      </c>
      <c r="X19">
        <f>HYPERLINK("https://klasma.github.io/Logging_1884/tillsyn/A 53600-2025 tillsynsbegäran.docx", "A 53600-2025")</f>
        <v/>
      </c>
      <c r="Y19">
        <f>HYPERLINK("https://klasma.github.io/Logging_1884/tillsynsmail/A 53600-2025 tillsynsbegäran mail.docx", "A 53600-2025")</f>
        <v/>
      </c>
    </row>
    <row r="20" ht="15" customHeight="1">
      <c r="A20" t="inlineStr">
        <is>
          <t>A 54598-2025</t>
        </is>
      </c>
      <c r="B20" s="1" t="n">
        <v>45965.77918981481</v>
      </c>
      <c r="C20" s="1" t="n">
        <v>46180</v>
      </c>
      <c r="D20" t="inlineStr">
        <is>
          <t>ÖREBRO LÄN</t>
        </is>
      </c>
      <c r="E20" t="inlineStr">
        <is>
          <t>NORA</t>
        </is>
      </c>
      <c r="G20" t="n">
        <v>3.3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Drillsnäppa
Vanlig snok</t>
        </is>
      </c>
      <c r="S20">
        <f>HYPERLINK("https://klasma.github.io/Logging_1884/artfynd/A 54598-2025 artfynd.xlsx", "A 54598-2025")</f>
        <v/>
      </c>
      <c r="T20">
        <f>HYPERLINK("https://klasma.github.io/Logging_1884/kartor/A 54598-2025 karta.png", "A 54598-2025")</f>
        <v/>
      </c>
      <c r="V20">
        <f>HYPERLINK("https://klasma.github.io/Logging_1884/klagomål/A 54598-2025 FSC-klagomål.docx", "A 54598-2025")</f>
        <v/>
      </c>
      <c r="W20">
        <f>HYPERLINK("https://klasma.github.io/Logging_1884/klagomålsmail/A 54598-2025 FSC-klagomål mail.docx", "A 54598-2025")</f>
        <v/>
      </c>
      <c r="X20">
        <f>HYPERLINK("https://klasma.github.io/Logging_1884/tillsyn/A 54598-2025 tillsynsbegäran.docx", "A 54598-2025")</f>
        <v/>
      </c>
      <c r="Y20">
        <f>HYPERLINK("https://klasma.github.io/Logging_1884/tillsynsmail/A 54598-2025 tillsynsbegäran mail.docx", "A 54598-2025")</f>
        <v/>
      </c>
    </row>
    <row r="21" ht="15" customHeight="1">
      <c r="A21" t="inlineStr">
        <is>
          <t>A 63535-2025</t>
        </is>
      </c>
      <c r="B21" s="1" t="n">
        <v>46013.57747685185</v>
      </c>
      <c r="C21" s="1" t="n">
        <v>46180</v>
      </c>
      <c r="D21" t="inlineStr">
        <is>
          <t>ÖREBRO LÄN</t>
        </is>
      </c>
      <c r="E21" t="inlineStr">
        <is>
          <t>NORA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Kryddtofsskivling
Blåsippa</t>
        </is>
      </c>
      <c r="S21">
        <f>HYPERLINK("https://klasma.github.io/Logging_1884/artfynd/A 63535-2025 artfynd.xlsx", "A 63535-2025")</f>
        <v/>
      </c>
      <c r="T21">
        <f>HYPERLINK("https://klasma.github.io/Logging_1884/kartor/A 63535-2025 karta.png", "A 63535-2025")</f>
        <v/>
      </c>
      <c r="V21">
        <f>HYPERLINK("https://klasma.github.io/Logging_1884/klagomål/A 63535-2025 FSC-klagomål.docx", "A 63535-2025")</f>
        <v/>
      </c>
      <c r="W21">
        <f>HYPERLINK("https://klasma.github.io/Logging_1884/klagomålsmail/A 63535-2025 FSC-klagomål mail.docx", "A 63535-2025")</f>
        <v/>
      </c>
      <c r="X21">
        <f>HYPERLINK("https://klasma.github.io/Logging_1884/tillsyn/A 63535-2025 tillsynsbegäran.docx", "A 63535-2025")</f>
        <v/>
      </c>
      <c r="Y21">
        <f>HYPERLINK("https://klasma.github.io/Logging_1884/tillsynsmail/A 63535-2025 tillsynsbegäran mail.docx", "A 63535-2025")</f>
        <v/>
      </c>
    </row>
    <row r="22" ht="15" customHeight="1">
      <c r="A22" t="inlineStr">
        <is>
          <t>A 63537-2025</t>
        </is>
      </c>
      <c r="B22" s="1" t="n">
        <v>46013.58233796297</v>
      </c>
      <c r="C22" s="1" t="n">
        <v>46180</v>
      </c>
      <c r="D22" t="inlineStr">
        <is>
          <t>ÖREBRO LÄN</t>
        </is>
      </c>
      <c r="E22" t="inlineStr">
        <is>
          <t>NORA</t>
        </is>
      </c>
      <c r="G22" t="n">
        <v>1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Skogshakmossa</t>
        </is>
      </c>
      <c r="S22">
        <f>HYPERLINK("https://klasma.github.io/Logging_1884/artfynd/A 63537-2025 artfynd.xlsx", "A 63537-2025")</f>
        <v/>
      </c>
      <c r="T22">
        <f>HYPERLINK("https://klasma.github.io/Logging_1884/kartor/A 63537-2025 karta.png", "A 63537-2025")</f>
        <v/>
      </c>
      <c r="V22">
        <f>HYPERLINK("https://klasma.github.io/Logging_1884/klagomål/A 63537-2025 FSC-klagomål.docx", "A 63537-2025")</f>
        <v/>
      </c>
      <c r="W22">
        <f>HYPERLINK("https://klasma.github.io/Logging_1884/klagomålsmail/A 63537-2025 FSC-klagomål mail.docx", "A 63537-2025")</f>
        <v/>
      </c>
      <c r="X22">
        <f>HYPERLINK("https://klasma.github.io/Logging_1884/tillsyn/A 63537-2025 tillsynsbegäran.docx", "A 63537-2025")</f>
        <v/>
      </c>
      <c r="Y22">
        <f>HYPERLINK("https://klasma.github.io/Logging_1884/tillsynsmail/A 63537-2025 tillsynsbegäran mail.docx", "A 63537-2025")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46180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46180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46180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46180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46180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46180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46180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46180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46180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46180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46180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46180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46180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46180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16289-2026</t>
        </is>
      </c>
      <c r="B37" s="1" t="n">
        <v>46111.5253125</v>
      </c>
      <c r="C37" s="1" t="n">
        <v>46180</v>
      </c>
      <c r="D37" t="inlineStr">
        <is>
          <t>ÖREBRO LÄN</t>
        </is>
      </c>
      <c r="E37" t="inlineStr">
        <is>
          <t>NORA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16289-2026 artfynd.xlsx", "A 16289-2026")</f>
        <v/>
      </c>
      <c r="T37">
        <f>HYPERLINK("https://klasma.github.io/Logging_1884/kartor/A 16289-2026 karta.png", "A 16289-2026")</f>
        <v/>
      </c>
      <c r="V37">
        <f>HYPERLINK("https://klasma.github.io/Logging_1884/klagomål/A 16289-2026 FSC-klagomål.docx", "A 16289-2026")</f>
        <v/>
      </c>
      <c r="W37">
        <f>HYPERLINK("https://klasma.github.io/Logging_1884/klagomålsmail/A 16289-2026 FSC-klagomål mail.docx", "A 16289-2026")</f>
        <v/>
      </c>
      <c r="X37">
        <f>HYPERLINK("https://klasma.github.io/Logging_1884/tillsyn/A 16289-2026 tillsynsbegäran.docx", "A 16289-2026")</f>
        <v/>
      </c>
      <c r="Y37">
        <f>HYPERLINK("https://klasma.github.io/Logging_1884/tillsynsmail/A 16289-2026 tillsynsbegäran mail.docx", "A 16289-2026")</f>
        <v/>
      </c>
      <c r="Z37">
        <f>HYPERLINK("https://klasma.github.io/Logging_1884/fåglar/A 16289-2026 prioriterade fågelarter.docx", "A 16289-2026")</f>
        <v/>
      </c>
    </row>
    <row r="38" ht="15" customHeight="1">
      <c r="A38" t="inlineStr">
        <is>
          <t>A 1520-2025</t>
        </is>
      </c>
      <c r="B38" s="1" t="n">
        <v>45670</v>
      </c>
      <c r="C38" s="1" t="n">
        <v>46180</v>
      </c>
      <c r="D38" t="inlineStr">
        <is>
          <t>ÖREBRO LÄN</t>
        </is>
      </c>
      <c r="E38" t="inlineStr">
        <is>
          <t>NORA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HYPERLINK("https://klasma.github.io/Logging_1884/artfynd/A 1520-2025 artfynd.xlsx", "A 1520-2025")</f>
        <v/>
      </c>
      <c r="T38">
        <f>HYPERLINK("https://klasma.github.io/Logging_1884/kartor/A 1520-2025 karta.png", "A 1520-2025")</f>
        <v/>
      </c>
      <c r="V38">
        <f>HYPERLINK("https://klasma.github.io/Logging_1884/klagomål/A 1520-2025 FSC-klagomål.docx", "A 1520-2025")</f>
        <v/>
      </c>
      <c r="W38">
        <f>HYPERLINK("https://klasma.github.io/Logging_1884/klagomålsmail/A 1520-2025 FSC-klagomål mail.docx", "A 1520-2025")</f>
        <v/>
      </c>
      <c r="X38">
        <f>HYPERLINK("https://klasma.github.io/Logging_1884/tillsyn/A 1520-2025 tillsynsbegäran.docx", "A 1520-2025")</f>
        <v/>
      </c>
      <c r="Y38">
        <f>HYPERLINK("https://klasma.github.io/Logging_1884/tillsynsmail/A 1520-2025 tillsynsbegäran mail.docx", "A 1520-2025")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46180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16288-2026</t>
        </is>
      </c>
      <c r="B40" s="1" t="n">
        <v>46111.51297453704</v>
      </c>
      <c r="C40" s="1" t="n">
        <v>46180</v>
      </c>
      <c r="D40" t="inlineStr">
        <is>
          <t>ÖREBRO LÄN</t>
        </is>
      </c>
      <c r="E40" t="inlineStr">
        <is>
          <t>NORA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16288-2026 artfynd.xlsx", "A 16288-2026")</f>
        <v/>
      </c>
      <c r="T40">
        <f>HYPERLINK("https://klasma.github.io/Logging_1884/kartor/A 16288-2026 karta.png", "A 16288-2026")</f>
        <v/>
      </c>
      <c r="V40">
        <f>HYPERLINK("https://klasma.github.io/Logging_1884/klagomål/A 16288-2026 FSC-klagomål.docx", "A 16288-2026")</f>
        <v/>
      </c>
      <c r="W40">
        <f>HYPERLINK("https://klasma.github.io/Logging_1884/klagomålsmail/A 16288-2026 FSC-klagomål mail.docx", "A 16288-2026")</f>
        <v/>
      </c>
      <c r="X40">
        <f>HYPERLINK("https://klasma.github.io/Logging_1884/tillsyn/A 16288-2026 tillsynsbegäran.docx", "A 16288-2026")</f>
        <v/>
      </c>
      <c r="Y40">
        <f>HYPERLINK("https://klasma.github.io/Logging_1884/tillsynsmail/A 16288-2026 tillsynsbegäran mail.docx", "A 16288-2026")</f>
        <v/>
      </c>
      <c r="Z40">
        <f>HYPERLINK("https://klasma.github.io/Logging_1884/fåglar/A 16288-2026 prioriterade fågelarter.docx", "A 16288-2026")</f>
        <v/>
      </c>
    </row>
    <row r="41" ht="15" customHeight="1">
      <c r="A41" t="inlineStr">
        <is>
          <t>A 14312-2025</t>
        </is>
      </c>
      <c r="B41" s="1" t="n">
        <v>45740.71707175926</v>
      </c>
      <c r="C41" s="1" t="n">
        <v>46180</v>
      </c>
      <c r="D41" t="inlineStr">
        <is>
          <t>ÖREBRO LÄN</t>
        </is>
      </c>
      <c r="E41" t="inlineStr">
        <is>
          <t>NORA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14312-2025 artfynd.xlsx", "A 14312-2025")</f>
        <v/>
      </c>
      <c r="T41">
        <f>HYPERLINK("https://klasma.github.io/Logging_1884/kartor/A 14312-2025 karta.png", "A 14312-2025")</f>
        <v/>
      </c>
      <c r="V41">
        <f>HYPERLINK("https://klasma.github.io/Logging_1884/klagomål/A 14312-2025 FSC-klagomål.docx", "A 14312-2025")</f>
        <v/>
      </c>
      <c r="W41">
        <f>HYPERLINK("https://klasma.github.io/Logging_1884/klagomålsmail/A 14312-2025 FSC-klagomål mail.docx", "A 14312-2025")</f>
        <v/>
      </c>
      <c r="X41">
        <f>HYPERLINK("https://klasma.github.io/Logging_1884/tillsyn/A 14312-2025 tillsynsbegäran.docx", "A 14312-2025")</f>
        <v/>
      </c>
      <c r="Y41">
        <f>HYPERLINK("https://klasma.github.io/Logging_1884/tillsynsmail/A 14312-2025 tillsynsbegäran mail.docx", "A 14312-2025")</f>
        <v/>
      </c>
      <c r="Z41">
        <f>HYPERLINK("https://klasma.github.io/Logging_1884/fåglar/A 14312-2025 prioriterade fågelarter.docx", "A 14312-2025")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46180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46180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46180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46180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46180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46180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46180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46180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46180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46180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46180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46180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46180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46180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46180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46180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46180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46180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46180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46180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46180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46180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46180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46180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46180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46180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46180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46180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46180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46180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46180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46180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46180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46180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46180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46180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46180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46180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46180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46180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46180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46180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46180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46180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46180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46180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46180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46180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46180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46180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46180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56871-2021</t>
        </is>
      </c>
      <c r="B93" s="1" t="n">
        <v>44481.78949074074</v>
      </c>
      <c r="C93" s="1" t="n">
        <v>46180</v>
      </c>
      <c r="D93" t="inlineStr">
        <is>
          <t>ÖREBRO LÄN</t>
        </is>
      </c>
      <c r="E93" t="inlineStr">
        <is>
          <t>NORA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46180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46180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46180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46180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46180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46180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26021-2023</t>
        </is>
      </c>
      <c r="B100" s="1" t="n">
        <v>45091.29033564815</v>
      </c>
      <c r="C100" s="1" t="n">
        <v>46180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46180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46180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46180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1766-2026</t>
        </is>
      </c>
      <c r="B104" s="1" t="n">
        <v>46034.6880787037</v>
      </c>
      <c r="C104" s="1" t="n">
        <v>46180</v>
      </c>
      <c r="D104" t="inlineStr">
        <is>
          <t>ÖREBRO LÄN</t>
        </is>
      </c>
      <c r="E104" t="inlineStr">
        <is>
          <t>NORA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46180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46180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2261-2026</t>
        </is>
      </c>
      <c r="B107" s="1" t="n">
        <v>46036</v>
      </c>
      <c r="C107" s="1" t="n">
        <v>46180</v>
      </c>
      <c r="D107" t="inlineStr">
        <is>
          <t>ÖREBRO LÄN</t>
        </is>
      </c>
      <c r="E107" t="inlineStr">
        <is>
          <t>NORA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46180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46180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46180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5562-2025</t>
        </is>
      </c>
      <c r="B111" s="1" t="n">
        <v>45693</v>
      </c>
      <c r="C111" s="1" t="n">
        <v>46180</v>
      </c>
      <c r="D111" t="inlineStr">
        <is>
          <t>ÖREBRO LÄN</t>
        </is>
      </c>
      <c r="E111" t="inlineStr">
        <is>
          <t>NORA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46180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46180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46180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46180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16557-2024</t>
        </is>
      </c>
      <c r="B116" s="1" t="n">
        <v>45408.45260416667</v>
      </c>
      <c r="C116" s="1" t="n">
        <v>46180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46180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23277-2024</t>
        </is>
      </c>
      <c r="B118" s="1" t="n">
        <v>45453.40982638889</v>
      </c>
      <c r="C118" s="1" t="n">
        <v>46180</v>
      </c>
      <c r="D118" t="inlineStr">
        <is>
          <t>ÖREBRO LÄN</t>
        </is>
      </c>
      <c r="E118" t="inlineStr">
        <is>
          <t>NORA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46180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53938-2023</t>
        </is>
      </c>
      <c r="B120" s="1" t="n">
        <v>45231</v>
      </c>
      <c r="C120" s="1" t="n">
        <v>46180</v>
      </c>
      <c r="D120" t="inlineStr">
        <is>
          <t>ÖREBRO LÄN</t>
        </is>
      </c>
      <c r="E120" t="inlineStr">
        <is>
          <t>NORA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42050-2025</t>
        </is>
      </c>
      <c r="B121" s="1" t="n">
        <v>45903.63047453704</v>
      </c>
      <c r="C121" s="1" t="n">
        <v>46180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5217-2022</t>
        </is>
      </c>
      <c r="B122" s="1" t="n">
        <v>44593</v>
      </c>
      <c r="C122" s="1" t="n">
        <v>46180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38.4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46180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3686-2026</t>
        </is>
      </c>
      <c r="B124" s="1" t="n">
        <v>46043.44011574074</v>
      </c>
      <c r="C124" s="1" t="n">
        <v>46180</v>
      </c>
      <c r="D124" t="inlineStr">
        <is>
          <t>ÖREBRO LÄN</t>
        </is>
      </c>
      <c r="E124" t="inlineStr">
        <is>
          <t>NORA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4723-2023</t>
        </is>
      </c>
      <c r="B125" s="1" t="n">
        <v>44957.51490740741</v>
      </c>
      <c r="C125" s="1" t="n">
        <v>46180</v>
      </c>
      <c r="D125" t="inlineStr">
        <is>
          <t>ÖREBRO LÄN</t>
        </is>
      </c>
      <c r="E125" t="inlineStr">
        <is>
          <t>NORA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35144-2023</t>
        </is>
      </c>
      <c r="B126" s="1" t="n">
        <v>45145</v>
      </c>
      <c r="C126" s="1" t="n">
        <v>46180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46180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46180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34755-2024</t>
        </is>
      </c>
      <c r="B129" s="1" t="n">
        <v>45526</v>
      </c>
      <c r="C129" s="1" t="n">
        <v>46180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5049-2022</t>
        </is>
      </c>
      <c r="B130" s="1" t="n">
        <v>44593</v>
      </c>
      <c r="C130" s="1" t="n">
        <v>46180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10079-2024</t>
        </is>
      </c>
      <c r="B131" s="1" t="n">
        <v>45364.42604166667</v>
      </c>
      <c r="C131" s="1" t="n">
        <v>46180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48707-2022</t>
        </is>
      </c>
      <c r="B132" s="1" t="n">
        <v>44859</v>
      </c>
      <c r="C132" s="1" t="n">
        <v>46180</v>
      </c>
      <c r="D132" t="inlineStr">
        <is>
          <t>ÖREBRO LÄN</t>
        </is>
      </c>
      <c r="E132" t="inlineStr">
        <is>
          <t>NORA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45159-2023</t>
        </is>
      </c>
      <c r="B133" s="1" t="n">
        <v>45191.49001157407</v>
      </c>
      <c r="C133" s="1" t="n">
        <v>46180</v>
      </c>
      <c r="D133" t="inlineStr">
        <is>
          <t>ÖREBRO LÄN</t>
        </is>
      </c>
      <c r="E133" t="inlineStr">
        <is>
          <t>NORA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52879-2023</t>
        </is>
      </c>
      <c r="B134" s="1" t="n">
        <v>45226.47349537037</v>
      </c>
      <c r="C134" s="1" t="n">
        <v>46180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46180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17140-2022</t>
        </is>
      </c>
      <c r="B136" s="1" t="n">
        <v>44677.53418981482</v>
      </c>
      <c r="C136" s="1" t="n">
        <v>46180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32501-2025</t>
        </is>
      </c>
      <c r="B137" s="1" t="n">
        <v>45838.46260416666</v>
      </c>
      <c r="C137" s="1" t="n">
        <v>46180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47030-2025</t>
        </is>
      </c>
      <c r="B138" s="1" t="n">
        <v>45929.58944444444</v>
      </c>
      <c r="C138" s="1" t="n">
        <v>46180</v>
      </c>
      <c r="D138" t="inlineStr">
        <is>
          <t>ÖREBRO LÄN</t>
        </is>
      </c>
      <c r="E138" t="inlineStr">
        <is>
          <t>NORA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46180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9295-2025</t>
        </is>
      </c>
      <c r="B140" s="1" t="n">
        <v>45714</v>
      </c>
      <c r="C140" s="1" t="n">
        <v>46180</v>
      </c>
      <c r="D140" t="inlineStr">
        <is>
          <t>ÖREBRO LÄN</t>
        </is>
      </c>
      <c r="E140" t="inlineStr">
        <is>
          <t>NORA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48229-2025</t>
        </is>
      </c>
      <c r="B141" s="1" t="n">
        <v>45933.51694444445</v>
      </c>
      <c r="C141" s="1" t="n">
        <v>46180</v>
      </c>
      <c r="D141" t="inlineStr">
        <is>
          <t>ÖREBRO LÄN</t>
        </is>
      </c>
      <c r="E141" t="inlineStr">
        <is>
          <t>NORA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56904-2024</t>
        </is>
      </c>
      <c r="B142" s="1" t="n">
        <v>45628.58696759259</v>
      </c>
      <c r="C142" s="1" t="n">
        <v>46180</v>
      </c>
      <c r="D142" t="inlineStr">
        <is>
          <t>ÖREBRO LÄN</t>
        </is>
      </c>
      <c r="E142" t="inlineStr">
        <is>
          <t>NORA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48775-2025</t>
        </is>
      </c>
      <c r="B143" s="1" t="n">
        <v>45937.00422453704</v>
      </c>
      <c r="C143" s="1" t="n">
        <v>46180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46180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46180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46180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46180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46180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46180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29669-2025</t>
        </is>
      </c>
      <c r="B150" s="1" t="n">
        <v>45825</v>
      </c>
      <c r="C150" s="1" t="n">
        <v>46180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24391-2024</t>
        </is>
      </c>
      <c r="B151" s="1" t="n">
        <v>45457.63850694444</v>
      </c>
      <c r="C151" s="1" t="n">
        <v>46180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24392-2024</t>
        </is>
      </c>
      <c r="B152" s="1" t="n">
        <v>45457.64085648148</v>
      </c>
      <c r="C152" s="1" t="n">
        <v>46180</v>
      </c>
      <c r="D152" t="inlineStr">
        <is>
          <t>ÖREBRO LÄN</t>
        </is>
      </c>
      <c r="E152" t="inlineStr">
        <is>
          <t>NORA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14315-2025</t>
        </is>
      </c>
      <c r="B153" s="1" t="n">
        <v>45740.72116898148</v>
      </c>
      <c r="C153" s="1" t="n">
        <v>46180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49675-2025</t>
        </is>
      </c>
      <c r="B154" s="1" t="n">
        <v>45939</v>
      </c>
      <c r="C154" s="1" t="n">
        <v>46180</v>
      </c>
      <c r="D154" t="inlineStr">
        <is>
          <t>ÖREBRO LÄN</t>
        </is>
      </c>
      <c r="E154" t="inlineStr">
        <is>
          <t>NORA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49498-2024</t>
        </is>
      </c>
      <c r="B155" s="1" t="n">
        <v>45596.3672337963</v>
      </c>
      <c r="C155" s="1" t="n">
        <v>46180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49671-2025</t>
        </is>
      </c>
      <c r="B156" s="1" t="n">
        <v>45939</v>
      </c>
      <c r="C156" s="1" t="n">
        <v>46180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49676-2025</t>
        </is>
      </c>
      <c r="B157" s="1" t="n">
        <v>45939</v>
      </c>
      <c r="C157" s="1" t="n">
        <v>46180</v>
      </c>
      <c r="D157" t="inlineStr">
        <is>
          <t>ÖREBRO LÄN</t>
        </is>
      </c>
      <c r="E157" t="inlineStr">
        <is>
          <t>NORA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46180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46180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51002-2025</t>
        </is>
      </c>
      <c r="B160" s="1" t="n">
        <v>45947.36173611111</v>
      </c>
      <c r="C160" s="1" t="n">
        <v>46180</v>
      </c>
      <c r="D160" t="inlineStr">
        <is>
          <t>ÖREBRO LÄN</t>
        </is>
      </c>
      <c r="E160" t="inlineStr">
        <is>
          <t>NORA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46180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43535-2023</t>
        </is>
      </c>
      <c r="B162" s="1" t="n">
        <v>45184</v>
      </c>
      <c r="C162" s="1" t="n">
        <v>46180</v>
      </c>
      <c r="D162" t="inlineStr">
        <is>
          <t>ÖREBRO LÄN</t>
        </is>
      </c>
      <c r="E162" t="inlineStr">
        <is>
          <t>NORA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51245-2025</t>
        </is>
      </c>
      <c r="B163" s="1" t="n">
        <v>45947.80872685185</v>
      </c>
      <c r="C163" s="1" t="n">
        <v>46180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51246-2025</t>
        </is>
      </c>
      <c r="B164" s="1" t="n">
        <v>45947.81226851852</v>
      </c>
      <c r="C164" s="1" t="n">
        <v>46180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35659-2023</t>
        </is>
      </c>
      <c r="B165" s="1" t="n">
        <v>45147</v>
      </c>
      <c r="C165" s="1" t="n">
        <v>46180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46180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10441-2026</t>
        </is>
      </c>
      <c r="B167" s="1" t="n">
        <v>46076</v>
      </c>
      <c r="C167" s="1" t="n">
        <v>46180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52380-2025</t>
        </is>
      </c>
      <c r="B168" s="1" t="n">
        <v>45953.94951388889</v>
      </c>
      <c r="C168" s="1" t="n">
        <v>46180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52505-2023</t>
        </is>
      </c>
      <c r="B169" s="1" t="n">
        <v>45225</v>
      </c>
      <c r="C169" s="1" t="n">
        <v>46180</v>
      </c>
      <c r="D169" t="inlineStr">
        <is>
          <t>ÖREBRO LÄN</t>
        </is>
      </c>
      <c r="E169" t="inlineStr">
        <is>
          <t>NORA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64026-2025</t>
        </is>
      </c>
      <c r="B170" s="1" t="n">
        <v>46021.47569444445</v>
      </c>
      <c r="C170" s="1" t="n">
        <v>46180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26022-2023</t>
        </is>
      </c>
      <c r="B171" s="1" t="n">
        <v>45091.29174768519</v>
      </c>
      <c r="C171" s="1" t="n">
        <v>46180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38179-2023</t>
        </is>
      </c>
      <c r="B172" s="1" t="n">
        <v>45161.45337962963</v>
      </c>
      <c r="C172" s="1" t="n">
        <v>46180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54595-2025</t>
        </is>
      </c>
      <c r="B173" s="1" t="n">
        <v>45965.7556712963</v>
      </c>
      <c r="C173" s="1" t="n">
        <v>46180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45645-2022</t>
        </is>
      </c>
      <c r="B174" s="1" t="n">
        <v>44845.65557870371</v>
      </c>
      <c r="C174" s="1" t="n">
        <v>46180</v>
      </c>
      <c r="D174" t="inlineStr">
        <is>
          <t>ÖREBRO LÄN</t>
        </is>
      </c>
      <c r="E174" t="inlineStr">
        <is>
          <t>NORA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55035-2025</t>
        </is>
      </c>
      <c r="B175" s="1" t="n">
        <v>45967.64612268518</v>
      </c>
      <c r="C175" s="1" t="n">
        <v>46180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56565-2025</t>
        </is>
      </c>
      <c r="B176" s="1" t="n">
        <v>45974</v>
      </c>
      <c r="C176" s="1" t="n">
        <v>46180</v>
      </c>
      <c r="D176" t="inlineStr">
        <is>
          <t>ÖREBRO LÄN</t>
        </is>
      </c>
      <c r="E176" t="inlineStr">
        <is>
          <t>NORA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40497-2024</t>
        </is>
      </c>
      <c r="B177" s="1" t="n">
        <v>45555.57101851852</v>
      </c>
      <c r="C177" s="1" t="n">
        <v>46180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12183-2025</t>
        </is>
      </c>
      <c r="B178" s="1" t="n">
        <v>45729.46353009259</v>
      </c>
      <c r="C178" s="1" t="n">
        <v>46180</v>
      </c>
      <c r="D178" t="inlineStr">
        <is>
          <t>ÖREBRO LÄN</t>
        </is>
      </c>
      <c r="E178" t="inlineStr">
        <is>
          <t>NORA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55869-2025</t>
        </is>
      </c>
      <c r="B179" s="1" t="n">
        <v>45973.35285879629</v>
      </c>
      <c r="C179" s="1" t="n">
        <v>46180</v>
      </c>
      <c r="D179" t="inlineStr">
        <is>
          <t>ÖREBRO LÄN</t>
        </is>
      </c>
      <c r="E179" t="inlineStr">
        <is>
          <t>NORA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22389-2023</t>
        </is>
      </c>
      <c r="B180" s="1" t="n">
        <v>45070</v>
      </c>
      <c r="C180" s="1" t="n">
        <v>46180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12573-2026</t>
        </is>
      </c>
      <c r="B181" s="1" t="n">
        <v>46090.66447916667</v>
      </c>
      <c r="C181" s="1" t="n">
        <v>46180</v>
      </c>
      <c r="D181" t="inlineStr">
        <is>
          <t>ÖREBRO LÄN</t>
        </is>
      </c>
      <c r="E181" t="inlineStr">
        <is>
          <t>NORA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46180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42049-2023</t>
        </is>
      </c>
      <c r="B183" s="1" t="n">
        <v>45177</v>
      </c>
      <c r="C183" s="1" t="n">
        <v>46180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46544-2021</t>
        </is>
      </c>
      <c r="B184" s="1" t="n">
        <v>44445</v>
      </c>
      <c r="C184" s="1" t="n">
        <v>46180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40126-2021</t>
        </is>
      </c>
      <c r="B185" s="1" t="n">
        <v>44418</v>
      </c>
      <c r="C185" s="1" t="n">
        <v>46180</v>
      </c>
      <c r="D185" t="inlineStr">
        <is>
          <t>ÖREBRO LÄN</t>
        </is>
      </c>
      <c r="E185" t="inlineStr">
        <is>
          <t>NORA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58521-2025</t>
        </is>
      </c>
      <c r="B186" s="1" t="n">
        <v>45985</v>
      </c>
      <c r="C186" s="1" t="n">
        <v>46180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35608-2021</t>
        </is>
      </c>
      <c r="B187" s="1" t="n">
        <v>44386.38070601852</v>
      </c>
      <c r="C187" s="1" t="n">
        <v>46180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14242-2026</t>
        </is>
      </c>
      <c r="B188" s="1" t="n">
        <v>46099.60429398148</v>
      </c>
      <c r="C188" s="1" t="n">
        <v>46180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60152-2025</t>
        </is>
      </c>
      <c r="B189" s="1" t="n">
        <v>45994</v>
      </c>
      <c r="C189" s="1" t="n">
        <v>46180</v>
      </c>
      <c r="D189" t="inlineStr">
        <is>
          <t>ÖREBRO LÄN</t>
        </is>
      </c>
      <c r="E189" t="inlineStr">
        <is>
          <t>NORA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60166-2025</t>
        </is>
      </c>
      <c r="B190" s="1" t="n">
        <v>45994</v>
      </c>
      <c r="C190" s="1" t="n">
        <v>46180</v>
      </c>
      <c r="D190" t="inlineStr">
        <is>
          <t>ÖREBRO LÄN</t>
        </is>
      </c>
      <c r="E190" t="inlineStr">
        <is>
          <t>NORA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60169-2025</t>
        </is>
      </c>
      <c r="B191" s="1" t="n">
        <v>45994</v>
      </c>
      <c r="C191" s="1" t="n">
        <v>46180</v>
      </c>
      <c r="D191" t="inlineStr">
        <is>
          <t>ÖREBRO LÄN</t>
        </is>
      </c>
      <c r="E191" t="inlineStr">
        <is>
          <t>NORA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16085-2024</t>
        </is>
      </c>
      <c r="B192" s="1" t="n">
        <v>45406.37230324074</v>
      </c>
      <c r="C192" s="1" t="n">
        <v>46180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60548-2025</t>
        </is>
      </c>
      <c r="B193" s="1" t="n">
        <v>45995.71252314815</v>
      </c>
      <c r="C193" s="1" t="n">
        <v>46180</v>
      </c>
      <c r="D193" t="inlineStr">
        <is>
          <t>ÖREBRO LÄN</t>
        </is>
      </c>
      <c r="E193" t="inlineStr">
        <is>
          <t>NORA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63825-2023</t>
        </is>
      </c>
      <c r="B194" s="1" t="n">
        <v>45278</v>
      </c>
      <c r="C194" s="1" t="n">
        <v>46180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60873-2025</t>
        </is>
      </c>
      <c r="B195" s="1" t="n">
        <v>45999.55505787037</v>
      </c>
      <c r="C195" s="1" t="n">
        <v>46180</v>
      </c>
      <c r="D195" t="inlineStr">
        <is>
          <t>ÖREBRO LÄN</t>
        </is>
      </c>
      <c r="E195" t="inlineStr">
        <is>
          <t>NORA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14253-2026</t>
        </is>
      </c>
      <c r="B196" s="1" t="n">
        <v>46099.61896990741</v>
      </c>
      <c r="C196" s="1" t="n">
        <v>46180</v>
      </c>
      <c r="D196" t="inlineStr">
        <is>
          <t>ÖREBRO LÄN</t>
        </is>
      </c>
      <c r="E196" t="inlineStr">
        <is>
          <t>NORA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40710-2021</t>
        </is>
      </c>
      <c r="B197" s="1" t="n">
        <v>44420</v>
      </c>
      <c r="C197" s="1" t="n">
        <v>46180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29018-2023</t>
        </is>
      </c>
      <c r="B198" s="1" t="n">
        <v>45104</v>
      </c>
      <c r="C198" s="1" t="n">
        <v>46180</v>
      </c>
      <c r="D198" t="inlineStr">
        <is>
          <t>ÖREBRO LÄN</t>
        </is>
      </c>
      <c r="E198" t="inlineStr">
        <is>
          <t>NORA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60301-2023</t>
        </is>
      </c>
      <c r="B199" s="1" t="n">
        <v>45258</v>
      </c>
      <c r="C199" s="1" t="n">
        <v>46180</v>
      </c>
      <c r="D199" t="inlineStr">
        <is>
          <t>ÖREBRO LÄN</t>
        </is>
      </c>
      <c r="E199" t="inlineStr">
        <is>
          <t>NORA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38177-2023</t>
        </is>
      </c>
      <c r="B200" s="1" t="n">
        <v>45161.44978009259</v>
      </c>
      <c r="C200" s="1" t="n">
        <v>46180</v>
      </c>
      <c r="D200" t="inlineStr">
        <is>
          <t>ÖREBRO LÄN</t>
        </is>
      </c>
      <c r="E200" t="inlineStr">
        <is>
          <t>NORA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10882-2024</t>
        </is>
      </c>
      <c r="B201" s="1" t="n">
        <v>45370</v>
      </c>
      <c r="C201" s="1" t="n">
        <v>46180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15012-2023</t>
        </is>
      </c>
      <c r="B202" s="1" t="n">
        <v>45015</v>
      </c>
      <c r="C202" s="1" t="n">
        <v>46180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8295-2024</t>
        </is>
      </c>
      <c r="B203" s="1" t="n">
        <v>45352.43674768518</v>
      </c>
      <c r="C203" s="1" t="n">
        <v>46180</v>
      </c>
      <c r="D203" t="inlineStr">
        <is>
          <t>ÖREBRO LÄN</t>
        </is>
      </c>
      <c r="E203" t="inlineStr">
        <is>
          <t>NORA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39707-2022</t>
        </is>
      </c>
      <c r="B204" s="1" t="n">
        <v>44818.95277777778</v>
      </c>
      <c r="C204" s="1" t="n">
        <v>46180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21256-2026</t>
        </is>
      </c>
      <c r="B205" s="1" t="n">
        <v>46147.39226851852</v>
      </c>
      <c r="C205" s="1" t="n">
        <v>46180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21270-2026</t>
        </is>
      </c>
      <c r="B206" s="1" t="n">
        <v>46147.43085648148</v>
      </c>
      <c r="C206" s="1" t="n">
        <v>46180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21276-2026</t>
        </is>
      </c>
      <c r="B207" s="1" t="n">
        <v>46147.44309027777</v>
      </c>
      <c r="C207" s="1" t="n">
        <v>46180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21262-2026</t>
        </is>
      </c>
      <c r="B208" s="1" t="n">
        <v>46147.40321759259</v>
      </c>
      <c r="C208" s="1" t="n">
        <v>46180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21271-2026</t>
        </is>
      </c>
      <c r="B209" s="1" t="n">
        <v>46147.43164351852</v>
      </c>
      <c r="C209" s="1" t="n">
        <v>46180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15702-2026</t>
        </is>
      </c>
      <c r="B210" s="1" t="n">
        <v>46107.34780092593</v>
      </c>
      <c r="C210" s="1" t="n">
        <v>46180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15712-2026</t>
        </is>
      </c>
      <c r="B211" s="1" t="n">
        <v>46107.35884259259</v>
      </c>
      <c r="C211" s="1" t="n">
        <v>46180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15692-2026</t>
        </is>
      </c>
      <c r="B212" s="1" t="n">
        <v>46107.34225694444</v>
      </c>
      <c r="C212" s="1" t="n">
        <v>46180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46180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46180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46180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45234-2023</t>
        </is>
      </c>
      <c r="B216" s="1" t="n">
        <v>45191.59268518518</v>
      </c>
      <c r="C216" s="1" t="n">
        <v>46180</v>
      </c>
      <c r="D216" t="inlineStr">
        <is>
          <t>ÖREBRO LÄN</t>
        </is>
      </c>
      <c r="E216" t="inlineStr">
        <is>
          <t>NORA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16813-2026</t>
        </is>
      </c>
      <c r="B217" s="1" t="n">
        <v>46113.49621527778</v>
      </c>
      <c r="C217" s="1" t="n">
        <v>46180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16815-2026</t>
        </is>
      </c>
      <c r="B218" s="1" t="n">
        <v>46113.49802083334</v>
      </c>
      <c r="C218" s="1" t="n">
        <v>46180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16816-2026</t>
        </is>
      </c>
      <c r="B219" s="1" t="n">
        <v>46113.49991898148</v>
      </c>
      <c r="C219" s="1" t="n">
        <v>46180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12646-2024</t>
        </is>
      </c>
      <c r="B220" s="1" t="n">
        <v>45384.34563657407</v>
      </c>
      <c r="C220" s="1" t="n">
        <v>46180</v>
      </c>
      <c r="D220" t="inlineStr">
        <is>
          <t>ÖREBRO LÄN</t>
        </is>
      </c>
      <c r="E220" t="inlineStr">
        <is>
          <t>NORA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22474-2026</t>
        </is>
      </c>
      <c r="B221" s="1" t="n">
        <v>46155.39695601852</v>
      </c>
      <c r="C221" s="1" t="n">
        <v>46180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22481-2026</t>
        </is>
      </c>
      <c r="B222" s="1" t="n">
        <v>46155.40670138889</v>
      </c>
      <c r="C222" s="1" t="n">
        <v>46180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16810-2026</t>
        </is>
      </c>
      <c r="B223" s="1" t="n">
        <v>46113.49311342592</v>
      </c>
      <c r="C223" s="1" t="n">
        <v>46180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16811-2026</t>
        </is>
      </c>
      <c r="B224" s="1" t="n">
        <v>46113.49465277778</v>
      </c>
      <c r="C224" s="1" t="n">
        <v>46180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22266-2026</t>
        </is>
      </c>
      <c r="B225" s="1" t="n">
        <v>46154.38645833333</v>
      </c>
      <c r="C225" s="1" t="n">
        <v>46180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16808-2026</t>
        </is>
      </c>
      <c r="B226" s="1" t="n">
        <v>46113.49188657408</v>
      </c>
      <c r="C226" s="1" t="n">
        <v>46180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22478-2026</t>
        </is>
      </c>
      <c r="B227" s="1" t="n">
        <v>46155.401875</v>
      </c>
      <c r="C227" s="1" t="n">
        <v>46180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22480-2026</t>
        </is>
      </c>
      <c r="B228" s="1" t="n">
        <v>46155.40488425926</v>
      </c>
      <c r="C228" s="1" t="n">
        <v>46180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22485-2026</t>
        </is>
      </c>
      <c r="B229" s="1" t="n">
        <v>46155.40791666666</v>
      </c>
      <c r="C229" s="1" t="n">
        <v>46180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22476-2026</t>
        </is>
      </c>
      <c r="B230" s="1" t="n">
        <v>46155.39934027778</v>
      </c>
      <c r="C230" s="1" t="n">
        <v>46180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16814-2026</t>
        </is>
      </c>
      <c r="B231" s="1" t="n">
        <v>46113.49700231481</v>
      </c>
      <c r="C231" s="1" t="n">
        <v>46180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73009-2021</t>
        </is>
      </c>
      <c r="B232" s="1" t="n">
        <v>44550.33282407407</v>
      </c>
      <c r="C232" s="1" t="n">
        <v>46180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40339-2024</t>
        </is>
      </c>
      <c r="B233" s="1" t="n">
        <v>45555.33125</v>
      </c>
      <c r="C233" s="1" t="n">
        <v>46180</v>
      </c>
      <c r="D233" t="inlineStr">
        <is>
          <t>ÖREBRO LÄN</t>
        </is>
      </c>
      <c r="E233" t="inlineStr">
        <is>
          <t>NORA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43843-2023</t>
        </is>
      </c>
      <c r="B234" s="1" t="n">
        <v>45187</v>
      </c>
      <c r="C234" s="1" t="n">
        <v>46180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348-2025</t>
        </is>
      </c>
      <c r="B235" s="1" t="n">
        <v>45660</v>
      </c>
      <c r="C235" s="1" t="n">
        <v>46180</v>
      </c>
      <c r="D235" t="inlineStr">
        <is>
          <t>ÖREBRO LÄN</t>
        </is>
      </c>
      <c r="E235" t="inlineStr">
        <is>
          <t>NORA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37849-2023</t>
        </is>
      </c>
      <c r="B236" s="1" t="n">
        <v>45158</v>
      </c>
      <c r="C236" s="1" t="n">
        <v>46180</v>
      </c>
      <c r="D236" t="inlineStr">
        <is>
          <t>ÖREBRO LÄN</t>
        </is>
      </c>
      <c r="E236" t="inlineStr">
        <is>
          <t>NORA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55766-2024</t>
        </is>
      </c>
      <c r="B237" s="1" t="n">
        <v>45623.37702546296</v>
      </c>
      <c r="C237" s="1" t="n">
        <v>46180</v>
      </c>
      <c r="D237" t="inlineStr">
        <is>
          <t>ÖREBRO LÄN</t>
        </is>
      </c>
      <c r="E237" t="inlineStr">
        <is>
          <t>NORA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46180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36064-2023</t>
        </is>
      </c>
      <c r="B239" s="1" t="n">
        <v>45149</v>
      </c>
      <c r="C239" s="1" t="n">
        <v>46180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46688-2023</t>
        </is>
      </c>
      <c r="B240" s="1" t="n">
        <v>45198.51881944444</v>
      </c>
      <c r="C240" s="1" t="n">
        <v>46180</v>
      </c>
      <c r="D240" t="inlineStr">
        <is>
          <t>ÖREBRO LÄN</t>
        </is>
      </c>
      <c r="E240" t="inlineStr">
        <is>
          <t>NORA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9457-2025</t>
        </is>
      </c>
      <c r="B241" s="1" t="n">
        <v>45714</v>
      </c>
      <c r="C241" s="1" t="n">
        <v>46180</v>
      </c>
      <c r="D241" t="inlineStr">
        <is>
          <t>ÖREBRO LÄN</t>
        </is>
      </c>
      <c r="E241" t="inlineStr">
        <is>
          <t>NORA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34759-2024</t>
        </is>
      </c>
      <c r="B242" s="1" t="n">
        <v>45526</v>
      </c>
      <c r="C242" s="1" t="n">
        <v>46180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17770-2022</t>
        </is>
      </c>
      <c r="B243" s="1" t="n">
        <v>44682.64953703704</v>
      </c>
      <c r="C243" s="1" t="n">
        <v>46180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16529-2024</t>
        </is>
      </c>
      <c r="B244" s="1" t="n">
        <v>45408.42216435185</v>
      </c>
      <c r="C244" s="1" t="n">
        <v>46180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39257-2023</t>
        </is>
      </c>
      <c r="B245" s="1" t="n">
        <v>45166.48097222222</v>
      </c>
      <c r="C245" s="1" t="n">
        <v>46180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24818-2024</t>
        </is>
      </c>
      <c r="B246" s="1" t="n">
        <v>45461.33123842593</v>
      </c>
      <c r="C246" s="1" t="n">
        <v>46180</v>
      </c>
      <c r="D246" t="inlineStr">
        <is>
          <t>ÖREBRO LÄN</t>
        </is>
      </c>
      <c r="E246" t="inlineStr">
        <is>
          <t>NORA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11864-2025</t>
        </is>
      </c>
      <c r="B247" s="1" t="n">
        <v>45728.41668981482</v>
      </c>
      <c r="C247" s="1" t="n">
        <v>46180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11888-2025</t>
        </is>
      </c>
      <c r="B248" s="1" t="n">
        <v>45728.45688657407</v>
      </c>
      <c r="C248" s="1" t="n">
        <v>46180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62217-2023</t>
        </is>
      </c>
      <c r="B249" s="1" t="n">
        <v>45267.51355324074</v>
      </c>
      <c r="C249" s="1" t="n">
        <v>46180</v>
      </c>
      <c r="D249" t="inlineStr">
        <is>
          <t>ÖREBRO LÄN</t>
        </is>
      </c>
      <c r="E249" t="inlineStr">
        <is>
          <t>NORA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20565-2025</t>
        </is>
      </c>
      <c r="B250" s="1" t="n">
        <v>45775.66307870371</v>
      </c>
      <c r="C250" s="1" t="n">
        <v>46180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53129-2023</t>
        </is>
      </c>
      <c r="B251" s="1" t="n">
        <v>45229</v>
      </c>
      <c r="C251" s="1" t="n">
        <v>46180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62592-2021</t>
        </is>
      </c>
      <c r="B252" s="1" t="n">
        <v>44503</v>
      </c>
      <c r="C252" s="1" t="n">
        <v>46180</v>
      </c>
      <c r="D252" t="inlineStr">
        <is>
          <t>ÖREBRO LÄN</t>
        </is>
      </c>
      <c r="E252" t="inlineStr">
        <is>
          <t>NORA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46180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34722-2024</t>
        </is>
      </c>
      <c r="B254" s="1" t="n">
        <v>45526</v>
      </c>
      <c r="C254" s="1" t="n">
        <v>46180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26023-2023</t>
        </is>
      </c>
      <c r="B255" s="1" t="n">
        <v>45091.2925</v>
      </c>
      <c r="C255" s="1" t="n">
        <v>46180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57316-2022</t>
        </is>
      </c>
      <c r="B256" s="1" t="n">
        <v>44896.32079861111</v>
      </c>
      <c r="C256" s="1" t="n">
        <v>46180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48610-2023</t>
        </is>
      </c>
      <c r="B257" s="1" t="n">
        <v>45208</v>
      </c>
      <c r="C257" s="1" t="n">
        <v>46180</v>
      </c>
      <c r="D257" t="inlineStr">
        <is>
          <t>ÖREBRO LÄN</t>
        </is>
      </c>
      <c r="E257" t="inlineStr">
        <is>
          <t>NORA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24832-2024</t>
        </is>
      </c>
      <c r="B258" s="1" t="n">
        <v>45461.38202546296</v>
      </c>
      <c r="C258" s="1" t="n">
        <v>46180</v>
      </c>
      <c r="D258" t="inlineStr">
        <is>
          <t>ÖREBRO LÄN</t>
        </is>
      </c>
      <c r="E258" t="inlineStr">
        <is>
          <t>NORA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7579-2024</t>
        </is>
      </c>
      <c r="B259" s="1" t="n">
        <v>45348</v>
      </c>
      <c r="C259" s="1" t="n">
        <v>46180</v>
      </c>
      <c r="D259" t="inlineStr">
        <is>
          <t>ÖREBRO LÄN</t>
        </is>
      </c>
      <c r="E259" t="inlineStr">
        <is>
          <t>NORA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41669-2021</t>
        </is>
      </c>
      <c r="B260" s="1" t="n">
        <v>44425</v>
      </c>
      <c r="C260" s="1" t="n">
        <v>46180</v>
      </c>
      <c r="D260" t="inlineStr">
        <is>
          <t>ÖREBRO LÄN</t>
        </is>
      </c>
      <c r="E260" t="inlineStr">
        <is>
          <t>NORA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34164-2022</t>
        </is>
      </c>
      <c r="B261" s="1" t="n">
        <v>44791.58640046296</v>
      </c>
      <c r="C261" s="1" t="n">
        <v>46180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16537-2024</t>
        </is>
      </c>
      <c r="B262" s="1" t="n">
        <v>45408.43247685185</v>
      </c>
      <c r="C262" s="1" t="n">
        <v>46180</v>
      </c>
      <c r="D262" t="inlineStr">
        <is>
          <t>ÖREBRO LÄN</t>
        </is>
      </c>
      <c r="E262" t="inlineStr">
        <is>
          <t>NORA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8589-2022</t>
        </is>
      </c>
      <c r="B263" s="1" t="n">
        <v>44613.55984953704</v>
      </c>
      <c r="C263" s="1" t="n">
        <v>46180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52379-2023</t>
        </is>
      </c>
      <c r="B264" s="1" t="n">
        <v>45224</v>
      </c>
      <c r="C264" s="1" t="n">
        <v>46180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5674-2023</t>
        </is>
      </c>
      <c r="B265" s="1" t="n">
        <v>44960.66104166667</v>
      </c>
      <c r="C265" s="1" t="n">
        <v>46180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35675-2023</t>
        </is>
      </c>
      <c r="B266" s="1" t="n">
        <v>45147</v>
      </c>
      <c r="C266" s="1" t="n">
        <v>46180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31957-2024</t>
        </is>
      </c>
      <c r="B267" s="1" t="n">
        <v>45510.49798611111</v>
      </c>
      <c r="C267" s="1" t="n">
        <v>46180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1521-2025</t>
        </is>
      </c>
      <c r="B268" s="1" t="n">
        <v>45670</v>
      </c>
      <c r="C268" s="1" t="n">
        <v>46180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24821-2024</t>
        </is>
      </c>
      <c r="B269" s="1" t="n">
        <v>45461.34765046297</v>
      </c>
      <c r="C269" s="1" t="n">
        <v>46180</v>
      </c>
      <c r="D269" t="inlineStr">
        <is>
          <t>ÖREBRO LÄN</t>
        </is>
      </c>
      <c r="E269" t="inlineStr">
        <is>
          <t>NORA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61952-2023</t>
        </is>
      </c>
      <c r="B270" s="1" t="n">
        <v>45266.56415509259</v>
      </c>
      <c r="C270" s="1" t="n">
        <v>46180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17352-2024</t>
        </is>
      </c>
      <c r="B271" s="1" t="n">
        <v>45414.5908912037</v>
      </c>
      <c r="C271" s="1" t="n">
        <v>46180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59607-2024</t>
        </is>
      </c>
      <c r="B272" s="1" t="n">
        <v>45638.74914351852</v>
      </c>
      <c r="C272" s="1" t="n">
        <v>46180</v>
      </c>
      <c r="D272" t="inlineStr">
        <is>
          <t>ÖREBRO LÄN</t>
        </is>
      </c>
      <c r="E272" t="inlineStr">
        <is>
          <t>NORA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4977-2023</t>
        </is>
      </c>
      <c r="B273" s="1" t="n">
        <v>44958.46266203704</v>
      </c>
      <c r="C273" s="1" t="n">
        <v>46180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33887-2024</t>
        </is>
      </c>
      <c r="B274" s="1" t="n">
        <v>45523.3167824074</v>
      </c>
      <c r="C274" s="1" t="n">
        <v>46180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46410-2021</t>
        </is>
      </c>
      <c r="B275" s="1" t="n">
        <v>44444</v>
      </c>
      <c r="C275" s="1" t="n">
        <v>46180</v>
      </c>
      <c r="D275" t="inlineStr">
        <is>
          <t>ÖREBRO LÄN</t>
        </is>
      </c>
      <c r="E275" t="inlineStr">
        <is>
          <t>NORA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29112-2023</t>
        </is>
      </c>
      <c r="B276" s="1" t="n">
        <v>45105.39409722222</v>
      </c>
      <c r="C276" s="1" t="n">
        <v>46180</v>
      </c>
      <c r="D276" t="inlineStr">
        <is>
          <t>ÖREBRO LÄN</t>
        </is>
      </c>
      <c r="E276" t="inlineStr">
        <is>
          <t>NORA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24822-2024</t>
        </is>
      </c>
      <c r="B277" s="1" t="n">
        <v>45461.34818287037</v>
      </c>
      <c r="C277" s="1" t="n">
        <v>46180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43919-2023</t>
        </is>
      </c>
      <c r="B278" s="1" t="n">
        <v>45182</v>
      </c>
      <c r="C278" s="1" t="n">
        <v>46180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45229-2023</t>
        </is>
      </c>
      <c r="B279" s="1" t="n">
        <v>45191</v>
      </c>
      <c r="C279" s="1" t="n">
        <v>46180</v>
      </c>
      <c r="D279" t="inlineStr">
        <is>
          <t>ÖREBRO LÄN</t>
        </is>
      </c>
      <c r="E279" t="inlineStr">
        <is>
          <t>NORA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60397-2022</t>
        </is>
      </c>
      <c r="B280" s="1" t="n">
        <v>44910.90956018519</v>
      </c>
      <c r="C280" s="1" t="n">
        <v>46180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11631-2022</t>
        </is>
      </c>
      <c r="B281" s="1" t="n">
        <v>44631</v>
      </c>
      <c r="C281" s="1" t="n">
        <v>46180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8936-2025</t>
        </is>
      </c>
      <c r="B282" s="1" t="n">
        <v>45714</v>
      </c>
      <c r="C282" s="1" t="n">
        <v>46180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27767-2023</t>
        </is>
      </c>
      <c r="B283" s="1" t="n">
        <v>45098.41659722223</v>
      </c>
      <c r="C283" s="1" t="n">
        <v>46180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13563-2024</t>
        </is>
      </c>
      <c r="B284" s="1" t="n">
        <v>45388.99935185185</v>
      </c>
      <c r="C284" s="1" t="n">
        <v>46180</v>
      </c>
      <c r="D284" t="inlineStr">
        <is>
          <t>ÖREBRO LÄN</t>
        </is>
      </c>
      <c r="E284" t="inlineStr">
        <is>
          <t>NORA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64090-2023</t>
        </is>
      </c>
      <c r="B285" s="1" t="n">
        <v>45279.43923611111</v>
      </c>
      <c r="C285" s="1" t="n">
        <v>46180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58829-2023</t>
        </is>
      </c>
      <c r="B286" s="1" t="n">
        <v>45252</v>
      </c>
      <c r="C286" s="1" t="n">
        <v>46180</v>
      </c>
      <c r="D286" t="inlineStr">
        <is>
          <t>ÖREBRO LÄN</t>
        </is>
      </c>
      <c r="E286" t="inlineStr">
        <is>
          <t>NORA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25723-2023</t>
        </is>
      </c>
      <c r="B287" s="1" t="n">
        <v>45090.3674537037</v>
      </c>
      <c r="C287" s="1" t="n">
        <v>46180</v>
      </c>
      <c r="D287" t="inlineStr">
        <is>
          <t>ÖREBRO LÄN</t>
        </is>
      </c>
      <c r="E287" t="inlineStr">
        <is>
          <t>NORA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59056-2024</t>
        </is>
      </c>
      <c r="B288" s="1" t="n">
        <v>45636</v>
      </c>
      <c r="C288" s="1" t="n">
        <v>46180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19501-2026</t>
        </is>
      </c>
      <c r="B289" s="1" t="n">
        <v>46134.33060185185</v>
      </c>
      <c r="C289" s="1" t="n">
        <v>46180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19503-2026</t>
        </is>
      </c>
      <c r="B290" s="1" t="n">
        <v>46134.33292824074</v>
      </c>
      <c r="C290" s="1" t="n">
        <v>46180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19502-2026</t>
        </is>
      </c>
      <c r="B291" s="1" t="n">
        <v>46134.33180555556</v>
      </c>
      <c r="C291" s="1" t="n">
        <v>46180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19504-2026</t>
        </is>
      </c>
      <c r="B292" s="1" t="n">
        <v>46134.33381944444</v>
      </c>
      <c r="C292" s="1" t="n">
        <v>46180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19505-2026</t>
        </is>
      </c>
      <c r="B293" s="1" t="n">
        <v>46134.33460648148</v>
      </c>
      <c r="C293" s="1" t="n">
        <v>46180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19509-2026</t>
        </is>
      </c>
      <c r="B294" s="1" t="n">
        <v>46134.33887731482</v>
      </c>
      <c r="C294" s="1" t="n">
        <v>46180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19510-2026</t>
        </is>
      </c>
      <c r="B295" s="1" t="n">
        <v>46134.33972222222</v>
      </c>
      <c r="C295" s="1" t="n">
        <v>46180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19512-2026</t>
        </is>
      </c>
      <c r="B296" s="1" t="n">
        <v>46134.3412962963</v>
      </c>
      <c r="C296" s="1" t="n">
        <v>46180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19553-2026</t>
        </is>
      </c>
      <c r="B297" s="1" t="n">
        <v>46134.40564814815</v>
      </c>
      <c r="C297" s="1" t="n">
        <v>46180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9754-2022</t>
        </is>
      </c>
      <c r="B298" s="1" t="n">
        <v>44618.81180555555</v>
      </c>
      <c r="C298" s="1" t="n">
        <v>46180</v>
      </c>
      <c r="D298" t="inlineStr">
        <is>
          <t>ÖREBRO LÄN</t>
        </is>
      </c>
      <c r="E298" t="inlineStr">
        <is>
          <t>NORA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35656-2024</t>
        </is>
      </c>
      <c r="B299" s="1" t="n">
        <v>45532</v>
      </c>
      <c r="C299" s="1" t="n">
        <v>46180</v>
      </c>
      <c r="D299" t="inlineStr">
        <is>
          <t>ÖREBRO LÄN</t>
        </is>
      </c>
      <c r="E299" t="inlineStr">
        <is>
          <t>NORA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2413-2024</t>
        </is>
      </c>
      <c r="B300" s="1" t="n">
        <v>45310</v>
      </c>
      <c r="C300" s="1" t="n">
        <v>46180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21846-2025</t>
        </is>
      </c>
      <c r="B301" s="1" t="n">
        <v>45784.33967592593</v>
      </c>
      <c r="C301" s="1" t="n">
        <v>46180</v>
      </c>
      <c r="D301" t="inlineStr">
        <is>
          <t>ÖREBRO LÄN</t>
        </is>
      </c>
      <c r="E301" t="inlineStr">
        <is>
          <t>NORA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16281-2024</t>
        </is>
      </c>
      <c r="B302" s="1" t="n">
        <v>45407.36091435186</v>
      </c>
      <c r="C302" s="1" t="n">
        <v>46180</v>
      </c>
      <c r="D302" t="inlineStr">
        <is>
          <t>ÖREBRO LÄN</t>
        </is>
      </c>
      <c r="E302" t="inlineStr">
        <is>
          <t>NORA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36089-2025</t>
        </is>
      </c>
      <c r="B303" s="1" t="n">
        <v>45866</v>
      </c>
      <c r="C303" s="1" t="n">
        <v>46180</v>
      </c>
      <c r="D303" t="inlineStr">
        <is>
          <t>ÖREBRO LÄN</t>
        </is>
      </c>
      <c r="E303" t="inlineStr">
        <is>
          <t>NORA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1566-2025</t>
        </is>
      </c>
      <c r="B304" s="1" t="n">
        <v>45670</v>
      </c>
      <c r="C304" s="1" t="n">
        <v>46180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54604-2024</t>
        </is>
      </c>
      <c r="B305" s="1" t="n">
        <v>45617.683125</v>
      </c>
      <c r="C305" s="1" t="n">
        <v>46180</v>
      </c>
      <c r="D305" t="inlineStr">
        <is>
          <t>ÖREBRO LÄN</t>
        </is>
      </c>
      <c r="E305" t="inlineStr">
        <is>
          <t>NORA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17344-2024</t>
        </is>
      </c>
      <c r="B306" s="1" t="n">
        <v>45414.58052083333</v>
      </c>
      <c r="C306" s="1" t="n">
        <v>46180</v>
      </c>
      <c r="D306" t="inlineStr">
        <is>
          <t>ÖREBRO LÄN</t>
        </is>
      </c>
      <c r="E306" t="inlineStr">
        <is>
          <t>NORA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60892-2025</t>
        </is>
      </c>
      <c r="B307" s="1" t="n">
        <v>45999.57278935185</v>
      </c>
      <c r="C307" s="1" t="n">
        <v>46180</v>
      </c>
      <c r="D307" t="inlineStr">
        <is>
          <t>ÖREBRO LÄN</t>
        </is>
      </c>
      <c r="E307" t="inlineStr">
        <is>
          <t>NORA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25486-2026</t>
        </is>
      </c>
      <c r="B308" s="1" t="n">
        <v>46177.43438657407</v>
      </c>
      <c r="C308" s="1" t="n">
        <v>46180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2026-06-07T10:30:36Z</dcterms:created>
  <dcterms:modified xmlns:dcterms="http://purl.org/dc/terms/" xmlns:xsi="http://www.w3.org/2001/XMLSchema-instance" xsi:type="dcterms:W3CDTF">2026-06-07T10:30:36Z</dcterms:modified>
</cp:coreProperties>
</file>