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46032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46032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46032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46032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46032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46032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46032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46032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46032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46032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46032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46032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46032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46032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46032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46032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46032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46032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46032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46032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46032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15327-2024</t>
        </is>
      </c>
      <c r="B23" s="1" t="n">
        <v>45400.68243055556</v>
      </c>
      <c r="C23" s="1" t="n">
        <v>46032</v>
      </c>
      <c r="D23" t="inlineStr">
        <is>
          <t>ÖREBRO LÄN</t>
        </is>
      </c>
      <c r="E23" t="inlineStr">
        <is>
          <t>NORA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HYPERLINK("https://klasma.github.io/Logging_1884/artfynd/A 15327-2024 artfynd.xlsx", "A 15327-2024")</f>
        <v/>
      </c>
      <c r="T23">
        <f>HYPERLINK("https://klasma.github.io/Logging_1884/kartor/A 15327-2024 karta.png", "A 15327-2024")</f>
        <v/>
      </c>
      <c r="V23">
        <f>HYPERLINK("https://klasma.github.io/Logging_1884/klagomål/A 15327-2024 FSC-klagomål.docx", "A 15327-2024")</f>
        <v/>
      </c>
      <c r="W23">
        <f>HYPERLINK("https://klasma.github.io/Logging_1884/klagomålsmail/A 15327-2024 FSC-klagomål mail.docx", "A 15327-2024")</f>
        <v/>
      </c>
      <c r="X23">
        <f>HYPERLINK("https://klasma.github.io/Logging_1884/tillsyn/A 15327-2024 tillsynsbegäran.docx", "A 15327-2024")</f>
        <v/>
      </c>
      <c r="Y23">
        <f>HYPERLINK("https://klasma.github.io/Logging_1884/tillsynsmail/A 15327-2024 tillsynsbegäran mail.docx", "A 15327-2024")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46032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46032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1520-2025</t>
        </is>
      </c>
      <c r="B26" s="1" t="n">
        <v>45670</v>
      </c>
      <c r="C26" s="1" t="n">
        <v>46032</v>
      </c>
      <c r="D26" t="inlineStr">
        <is>
          <t>ÖREBRO LÄN</t>
        </is>
      </c>
      <c r="E26" t="inlineStr">
        <is>
          <t>NORA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HYPERLINK("https://klasma.github.io/Logging_1884/artfynd/A 1520-2025 artfynd.xlsx", "A 1520-2025")</f>
        <v/>
      </c>
      <c r="T26">
        <f>HYPERLINK("https://klasma.github.io/Logging_1884/kartor/A 1520-2025 karta.png", "A 1520-2025")</f>
        <v/>
      </c>
      <c r="V26">
        <f>HYPERLINK("https://klasma.github.io/Logging_1884/klagomål/A 1520-2025 FSC-klagomål.docx", "A 1520-2025")</f>
        <v/>
      </c>
      <c r="W26">
        <f>HYPERLINK("https://klasma.github.io/Logging_1884/klagomålsmail/A 1520-2025 FSC-klagomål mail.docx", "A 1520-2025")</f>
        <v/>
      </c>
      <c r="X26">
        <f>HYPERLINK("https://klasma.github.io/Logging_1884/tillsyn/A 1520-2025 tillsynsbegäran.docx", "A 1520-2025")</f>
        <v/>
      </c>
      <c r="Y26">
        <f>HYPERLINK("https://klasma.github.io/Logging_1884/tillsynsmail/A 1520-2025 tillsynsbegäran mail.docx", "A 1520-2025")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46032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46032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46032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46032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46032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46032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46032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7148-2021</t>
        </is>
      </c>
      <c r="B34" s="1" t="n">
        <v>44238</v>
      </c>
      <c r="C34" s="1" t="n">
        <v>46032</v>
      </c>
      <c r="D34" t="inlineStr">
        <is>
          <t>ÖREBRO LÄN</t>
        </is>
      </c>
      <c r="E34" t="inlineStr">
        <is>
          <t>NORA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HYPERLINK("https://klasma.github.io/Logging_1884/artfynd/A 7148-2021 artfynd.xlsx", "A 7148-2021")</f>
        <v/>
      </c>
      <c r="T34">
        <f>HYPERLINK("https://klasma.github.io/Logging_1884/kartor/A 7148-2021 karta.png", "A 7148-2021")</f>
        <v/>
      </c>
      <c r="V34">
        <f>HYPERLINK("https://klasma.github.io/Logging_1884/klagomål/A 7148-2021 FSC-klagomål.docx", "A 7148-2021")</f>
        <v/>
      </c>
      <c r="W34">
        <f>HYPERLINK("https://klasma.github.io/Logging_1884/klagomålsmail/A 7148-2021 FSC-klagomål mail.docx", "A 7148-2021")</f>
        <v/>
      </c>
      <c r="X34">
        <f>HYPERLINK("https://klasma.github.io/Logging_1884/tillsyn/A 7148-2021 tillsynsbegäran.docx", "A 7148-2021")</f>
        <v/>
      </c>
      <c r="Y34">
        <f>HYPERLINK("https://klasma.github.io/Logging_1884/tillsynsmail/A 7148-2021 tillsynsbegäran mail.docx", "A 7148-2021")</f>
        <v/>
      </c>
    </row>
    <row r="35" ht="15" customHeight="1">
      <c r="A35" t="inlineStr">
        <is>
          <t>A 55261-2025</t>
        </is>
      </c>
      <c r="B35" s="1" t="n">
        <v>45968.64734953704</v>
      </c>
      <c r="C35" s="1" t="n">
        <v>46032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HYPERLINK("https://klasma.github.io/Logging_1884/artfynd/A 55261-2025 artfynd.xlsx", "A 55261-2025")</f>
        <v/>
      </c>
      <c r="T35">
        <f>HYPERLINK("https://klasma.github.io/Logging_1884/kartor/A 55261-2025 karta.png", "A 55261-2025")</f>
        <v/>
      </c>
      <c r="V35">
        <f>HYPERLINK("https://klasma.github.io/Logging_1884/klagomål/A 55261-2025 FSC-klagomål.docx", "A 55261-2025")</f>
        <v/>
      </c>
      <c r="W35">
        <f>HYPERLINK("https://klasma.github.io/Logging_1884/klagomålsmail/A 55261-2025 FSC-klagomål mail.docx", "A 55261-2025")</f>
        <v/>
      </c>
      <c r="X35">
        <f>HYPERLINK("https://klasma.github.io/Logging_1884/tillsyn/A 55261-2025 tillsynsbegäran.docx", "A 55261-2025")</f>
        <v/>
      </c>
      <c r="Y35">
        <f>HYPERLINK("https://klasma.github.io/Logging_1884/tillsynsmail/A 55261-2025 tillsynsbegäran mail.docx", "A 55261-2025")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46032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46032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16063-2023</t>
        </is>
      </c>
      <c r="B38" s="1" t="n">
        <v>45027</v>
      </c>
      <c r="C38" s="1" t="n">
        <v>46032</v>
      </c>
      <c r="D38" t="inlineStr">
        <is>
          <t>ÖREBRO LÄN</t>
        </is>
      </c>
      <c r="E38" t="inlineStr">
        <is>
          <t>NORA</t>
        </is>
      </c>
      <c r="G38" t="n">
        <v>7.3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HYPERLINK("https://klasma.github.io/Logging_1884/artfynd/A 16063-2023 artfynd.xlsx", "A 16063-2023")</f>
        <v/>
      </c>
      <c r="T38">
        <f>HYPERLINK("https://klasma.github.io/Logging_1884/kartor/A 16063-2023 karta.png", "A 16063-2023")</f>
        <v/>
      </c>
      <c r="V38">
        <f>HYPERLINK("https://klasma.github.io/Logging_1884/klagomål/A 16063-2023 FSC-klagomål.docx", "A 16063-2023")</f>
        <v/>
      </c>
      <c r="W38">
        <f>HYPERLINK("https://klasma.github.io/Logging_1884/klagomålsmail/A 16063-2023 FSC-klagomål mail.docx", "A 16063-2023")</f>
        <v/>
      </c>
      <c r="X38">
        <f>HYPERLINK("https://klasma.github.io/Logging_1884/tillsyn/A 16063-2023 tillsynsbegäran.docx", "A 16063-2023")</f>
        <v/>
      </c>
      <c r="Y38">
        <f>HYPERLINK("https://klasma.github.io/Logging_1884/tillsynsmail/A 16063-2023 tillsynsbegäran mail.docx", "A 16063-2023")</f>
        <v/>
      </c>
    </row>
    <row r="39" ht="15" customHeight="1">
      <c r="A39" t="inlineStr">
        <is>
          <t>A 14306-2025</t>
        </is>
      </c>
      <c r="B39" s="1" t="n">
        <v>45740.70622685185</v>
      </c>
      <c r="C39" s="1" t="n">
        <v>46032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14306-2025 artfynd.xlsx", "A 14306-2025")</f>
        <v/>
      </c>
      <c r="T39">
        <f>HYPERLINK("https://klasma.github.io/Logging_1884/kartor/A 14306-2025 karta.png", "A 14306-2025")</f>
        <v/>
      </c>
      <c r="V39">
        <f>HYPERLINK("https://klasma.github.io/Logging_1884/klagomål/A 14306-2025 FSC-klagomål.docx", "A 14306-2025")</f>
        <v/>
      </c>
      <c r="W39">
        <f>HYPERLINK("https://klasma.github.io/Logging_1884/klagomålsmail/A 14306-2025 FSC-klagomål mail.docx", "A 14306-2025")</f>
        <v/>
      </c>
      <c r="X39">
        <f>HYPERLINK("https://klasma.github.io/Logging_1884/tillsyn/A 14306-2025 tillsynsbegäran.docx", "A 14306-2025")</f>
        <v/>
      </c>
      <c r="Y39">
        <f>HYPERLINK("https://klasma.github.io/Logging_1884/tillsynsmail/A 14306-2025 tillsynsbegäran mail.docx", "A 14306-2025")</f>
        <v/>
      </c>
      <c r="Z39">
        <f>HYPERLINK("https://klasma.github.io/Logging_1884/fåglar/A 14306-2025 prioriterade fågelarter.docx", "A 14306-2025")</f>
        <v/>
      </c>
    </row>
    <row r="40" ht="15" customHeight="1">
      <c r="A40" t="inlineStr">
        <is>
          <t>A 20659-2025</t>
        </is>
      </c>
      <c r="B40" s="1" t="n">
        <v>45776.41106481481</v>
      </c>
      <c r="C40" s="1" t="n">
        <v>46032</v>
      </c>
      <c r="D40" t="inlineStr">
        <is>
          <t>ÖREBRO LÄN</t>
        </is>
      </c>
      <c r="E40" t="inlineStr">
        <is>
          <t>NORA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20659-2025 artfynd.xlsx", "A 20659-2025")</f>
        <v/>
      </c>
      <c r="T40">
        <f>HYPERLINK("https://klasma.github.io/Logging_1884/kartor/A 20659-2025 karta.png", "A 20659-2025")</f>
        <v/>
      </c>
      <c r="V40">
        <f>HYPERLINK("https://klasma.github.io/Logging_1884/klagomål/A 20659-2025 FSC-klagomål.docx", "A 20659-2025")</f>
        <v/>
      </c>
      <c r="W40">
        <f>HYPERLINK("https://klasma.github.io/Logging_1884/klagomålsmail/A 20659-2025 FSC-klagomål mail.docx", "A 20659-2025")</f>
        <v/>
      </c>
      <c r="X40">
        <f>HYPERLINK("https://klasma.github.io/Logging_1884/tillsyn/A 20659-2025 tillsynsbegäran.docx", "A 20659-2025")</f>
        <v/>
      </c>
      <c r="Y40">
        <f>HYPERLINK("https://klasma.github.io/Logging_1884/tillsynsmail/A 20659-2025 tillsynsbegäran mail.docx", "A 20659-2025")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46032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46032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46032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46032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46032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46032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46032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46032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46032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46032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46032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46032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46032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46032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46032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46032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37265-2022</t>
        </is>
      </c>
      <c r="B57" s="1" t="n">
        <v>44807.46988425926</v>
      </c>
      <c r="C57" s="1" t="n">
        <v>46032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46032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46032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46032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16326-2021</t>
        </is>
      </c>
      <c r="B61" s="1" t="n">
        <v>44292</v>
      </c>
      <c r="C61" s="1" t="n">
        <v>46032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15358-2021</t>
        </is>
      </c>
      <c r="B62" s="1" t="n">
        <v>44284</v>
      </c>
      <c r="C62" s="1" t="n">
        <v>46032</v>
      </c>
      <c r="D62" t="inlineStr">
        <is>
          <t>ÖREBRO LÄN</t>
        </is>
      </c>
      <c r="E62" t="inlineStr">
        <is>
          <t>NORA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46032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46032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46032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46032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46032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46032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46032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46032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46032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46032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46032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46032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46032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46032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46032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46032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46032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46032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46032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5039-2022</t>
        </is>
      </c>
      <c r="B82" s="1" t="n">
        <v>44593</v>
      </c>
      <c r="C82" s="1" t="n">
        <v>46032</v>
      </c>
      <c r="D82" t="inlineStr">
        <is>
          <t>ÖREBRO LÄN</t>
        </is>
      </c>
      <c r="E82" t="inlineStr">
        <is>
          <t>NORA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49135-2021</t>
        </is>
      </c>
      <c r="B83" s="1" t="n">
        <v>44453</v>
      </c>
      <c r="C83" s="1" t="n">
        <v>46032</v>
      </c>
      <c r="D83" t="inlineStr">
        <is>
          <t>ÖREBRO LÄN</t>
        </is>
      </c>
      <c r="E83" t="inlineStr">
        <is>
          <t>NORA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46032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27648-2021</t>
        </is>
      </c>
      <c r="B85" s="1" t="n">
        <v>44354.37946759259</v>
      </c>
      <c r="C85" s="1" t="n">
        <v>46032</v>
      </c>
      <c r="D85" t="inlineStr">
        <is>
          <t>ÖREBRO LÄN</t>
        </is>
      </c>
      <c r="E85" t="inlineStr">
        <is>
          <t>NORA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46032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46032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62592-2021</t>
        </is>
      </c>
      <c r="B88" s="1" t="n">
        <v>44503</v>
      </c>
      <c r="C88" s="1" t="n">
        <v>46032</v>
      </c>
      <c r="D88" t="inlineStr">
        <is>
          <t>ÖREBRO LÄN</t>
        </is>
      </c>
      <c r="E88" t="inlineStr">
        <is>
          <t>NORA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12815-2024</t>
        </is>
      </c>
      <c r="B89" s="1" t="n">
        <v>45384.66650462963</v>
      </c>
      <c r="C89" s="1" t="n">
        <v>46032</v>
      </c>
      <c r="D89" t="inlineStr">
        <is>
          <t>ÖREBRO LÄN</t>
        </is>
      </c>
      <c r="E89" t="inlineStr">
        <is>
          <t>NORA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4910-2023</t>
        </is>
      </c>
      <c r="B90" s="1" t="n">
        <v>44958.38488425926</v>
      </c>
      <c r="C90" s="1" t="n">
        <v>46032</v>
      </c>
      <c r="D90" t="inlineStr">
        <is>
          <t>ÖREBRO LÄN</t>
        </is>
      </c>
      <c r="E90" t="inlineStr">
        <is>
          <t>NORA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21846-2025</t>
        </is>
      </c>
      <c r="B91" s="1" t="n">
        <v>45784.33967592593</v>
      </c>
      <c r="C91" s="1" t="n">
        <v>46032</v>
      </c>
      <c r="D91" t="inlineStr">
        <is>
          <t>ÖREBRO LÄN</t>
        </is>
      </c>
      <c r="E91" t="inlineStr">
        <is>
          <t>NORA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34164-2022</t>
        </is>
      </c>
      <c r="B92" s="1" t="n">
        <v>44791.58640046296</v>
      </c>
      <c r="C92" s="1" t="n">
        <v>46032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49632-2022</t>
        </is>
      </c>
      <c r="B93" s="1" t="n">
        <v>44862.43023148148</v>
      </c>
      <c r="C93" s="1" t="n">
        <v>46032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45216-2023</t>
        </is>
      </c>
      <c r="B94" s="1" t="n">
        <v>45191</v>
      </c>
      <c r="C94" s="1" t="n">
        <v>46032</v>
      </c>
      <c r="D94" t="inlineStr">
        <is>
          <t>ÖREBRO LÄN</t>
        </is>
      </c>
      <c r="E94" t="inlineStr">
        <is>
          <t>NORA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16281-2024</t>
        </is>
      </c>
      <c r="B95" s="1" t="n">
        <v>45407.36091435186</v>
      </c>
      <c r="C95" s="1" t="n">
        <v>46032</v>
      </c>
      <c r="D95" t="inlineStr">
        <is>
          <t>ÖREBRO LÄN</t>
        </is>
      </c>
      <c r="E95" t="inlineStr">
        <is>
          <t>NORA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49671-2025</t>
        </is>
      </c>
      <c r="B96" s="1" t="n">
        <v>45939</v>
      </c>
      <c r="C96" s="1" t="n">
        <v>46032</v>
      </c>
      <c r="D96" t="inlineStr">
        <is>
          <t>ÖREBRO LÄN</t>
        </is>
      </c>
      <c r="E96" t="inlineStr">
        <is>
          <t>NORA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49676-2025</t>
        </is>
      </c>
      <c r="B97" s="1" t="n">
        <v>45939</v>
      </c>
      <c r="C97" s="1" t="n">
        <v>46032</v>
      </c>
      <c r="D97" t="inlineStr">
        <is>
          <t>ÖREBRO LÄN</t>
        </is>
      </c>
      <c r="E97" t="inlineStr">
        <is>
          <t>NORA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51002-2025</t>
        </is>
      </c>
      <c r="B98" s="1" t="n">
        <v>45947.36173611111</v>
      </c>
      <c r="C98" s="1" t="n">
        <v>46032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49675-2025</t>
        </is>
      </c>
      <c r="B99" s="1" t="n">
        <v>45939</v>
      </c>
      <c r="C99" s="1" t="n">
        <v>46032</v>
      </c>
      <c r="D99" t="inlineStr">
        <is>
          <t>ÖREBRO LÄN</t>
        </is>
      </c>
      <c r="E99" t="inlineStr">
        <is>
          <t>NORA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1566-2025</t>
        </is>
      </c>
      <c r="B100" s="1" t="n">
        <v>45670</v>
      </c>
      <c r="C100" s="1" t="n">
        <v>46032</v>
      </c>
      <c r="D100" t="inlineStr">
        <is>
          <t>ÖREBRO LÄN</t>
        </is>
      </c>
      <c r="E100" t="inlineStr">
        <is>
          <t>NORA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54604-2024</t>
        </is>
      </c>
      <c r="B101" s="1" t="n">
        <v>45617.683125</v>
      </c>
      <c r="C101" s="1" t="n">
        <v>46032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26916-2022</t>
        </is>
      </c>
      <c r="B102" s="1" t="n">
        <v>44740</v>
      </c>
      <c r="C102" s="1" t="n">
        <v>46032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26320-2022</t>
        </is>
      </c>
      <c r="B103" s="1" t="n">
        <v>44735.60184027778</v>
      </c>
      <c r="C103" s="1" t="n">
        <v>46032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61952-2023</t>
        </is>
      </c>
      <c r="B104" s="1" t="n">
        <v>45266.56415509259</v>
      </c>
      <c r="C104" s="1" t="n">
        <v>46032</v>
      </c>
      <c r="D104" t="inlineStr">
        <is>
          <t>ÖREBRO LÄN</t>
        </is>
      </c>
      <c r="E104" t="inlineStr">
        <is>
          <t>NORA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39513-2025</t>
        </is>
      </c>
      <c r="B105" s="1" t="n">
        <v>45890.41581018519</v>
      </c>
      <c r="C105" s="1" t="n">
        <v>46032</v>
      </c>
      <c r="D105" t="inlineStr">
        <is>
          <t>ÖREBRO LÄN</t>
        </is>
      </c>
      <c r="E105" t="inlineStr">
        <is>
          <t>NORA</t>
        </is>
      </c>
      <c r="F105" t="inlineStr">
        <is>
          <t>Kommuner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26023-2023</t>
        </is>
      </c>
      <c r="B106" s="1" t="n">
        <v>45091.2925</v>
      </c>
      <c r="C106" s="1" t="n">
        <v>46032</v>
      </c>
      <c r="D106" t="inlineStr">
        <is>
          <t>ÖREBRO LÄN</t>
        </is>
      </c>
      <c r="E106" t="inlineStr">
        <is>
          <t>NORA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51245-2025</t>
        </is>
      </c>
      <c r="B107" s="1" t="n">
        <v>45947.80872685185</v>
      </c>
      <c r="C107" s="1" t="n">
        <v>46032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51246-2025</t>
        </is>
      </c>
      <c r="B108" s="1" t="n">
        <v>45947.81226851852</v>
      </c>
      <c r="C108" s="1" t="n">
        <v>46032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39837-2025</t>
        </is>
      </c>
      <c r="B109" s="1" t="n">
        <v>45891.56561342593</v>
      </c>
      <c r="C109" s="1" t="n">
        <v>46032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17344-2024</t>
        </is>
      </c>
      <c r="B110" s="1" t="n">
        <v>45414.58052083333</v>
      </c>
      <c r="C110" s="1" t="n">
        <v>46032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53938-2023</t>
        </is>
      </c>
      <c r="B111" s="1" t="n">
        <v>45231</v>
      </c>
      <c r="C111" s="1" t="n">
        <v>46032</v>
      </c>
      <c r="D111" t="inlineStr">
        <is>
          <t>ÖREBRO LÄN</t>
        </is>
      </c>
      <c r="E111" t="inlineStr">
        <is>
          <t>NORA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40082-2025</t>
        </is>
      </c>
      <c r="B112" s="1" t="n">
        <v>45894.46731481481</v>
      </c>
      <c r="C112" s="1" t="n">
        <v>46032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13563-2024</t>
        </is>
      </c>
      <c r="B113" s="1" t="n">
        <v>45388.99935185185</v>
      </c>
      <c r="C113" s="1" t="n">
        <v>46032</v>
      </c>
      <c r="D113" t="inlineStr">
        <is>
          <t>ÖREBRO LÄN</t>
        </is>
      </c>
      <c r="E113" t="inlineStr">
        <is>
          <t>NORA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41588-2025</t>
        </is>
      </c>
      <c r="B114" s="1" t="n">
        <v>45901.63114583334</v>
      </c>
      <c r="C114" s="1" t="n">
        <v>46032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16085-2024</t>
        </is>
      </c>
      <c r="B115" s="1" t="n">
        <v>45406.37230324074</v>
      </c>
      <c r="C115" s="1" t="n">
        <v>46032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5562-2025</t>
        </is>
      </c>
      <c r="B116" s="1" t="n">
        <v>45693</v>
      </c>
      <c r="C116" s="1" t="n">
        <v>46032</v>
      </c>
      <c r="D116" t="inlineStr">
        <is>
          <t>ÖREBRO LÄN</t>
        </is>
      </c>
      <c r="E116" t="inlineStr">
        <is>
          <t>NORA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5590-2025</t>
        </is>
      </c>
      <c r="B117" s="1" t="n">
        <v>45693</v>
      </c>
      <c r="C117" s="1" t="n">
        <v>46032</v>
      </c>
      <c r="D117" t="inlineStr">
        <is>
          <t>ÖREBRO LÄN</t>
        </is>
      </c>
      <c r="E117" t="inlineStr">
        <is>
          <t>NORA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42056-2025</t>
        </is>
      </c>
      <c r="B118" s="1" t="n">
        <v>45903.64190972222</v>
      </c>
      <c r="C118" s="1" t="n">
        <v>46032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42050-2025</t>
        </is>
      </c>
      <c r="B119" s="1" t="n">
        <v>45903.63047453704</v>
      </c>
      <c r="C119" s="1" t="n">
        <v>46032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41939-2025</t>
        </is>
      </c>
      <c r="B120" s="1" t="n">
        <v>45903.44396990741</v>
      </c>
      <c r="C120" s="1" t="n">
        <v>46032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42049-2025</t>
        </is>
      </c>
      <c r="B121" s="1" t="n">
        <v>45903.63034722222</v>
      </c>
      <c r="C121" s="1" t="n">
        <v>46032</v>
      </c>
      <c r="D121" t="inlineStr">
        <is>
          <t>ÖREBRO LÄN</t>
        </is>
      </c>
      <c r="E121" t="inlineStr">
        <is>
          <t>NORA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24389-2024</t>
        </is>
      </c>
      <c r="B122" s="1" t="n">
        <v>45457.63585648148</v>
      </c>
      <c r="C122" s="1" t="n">
        <v>46032</v>
      </c>
      <c r="D122" t="inlineStr">
        <is>
          <t>ÖREBRO LÄN</t>
        </is>
      </c>
      <c r="E122" t="inlineStr">
        <is>
          <t>NORA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55766-2024</t>
        </is>
      </c>
      <c r="B123" s="1" t="n">
        <v>45623.37702546296</v>
      </c>
      <c r="C123" s="1" t="n">
        <v>46032</v>
      </c>
      <c r="D123" t="inlineStr">
        <is>
          <t>ÖREBRO LÄN</t>
        </is>
      </c>
      <c r="E123" t="inlineStr">
        <is>
          <t>NORA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52879-2023</t>
        </is>
      </c>
      <c r="B124" s="1" t="n">
        <v>45226.47349537037</v>
      </c>
      <c r="C124" s="1" t="n">
        <v>46032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52303-2024</t>
        </is>
      </c>
      <c r="B125" s="1" t="n">
        <v>45608.75231481482</v>
      </c>
      <c r="C125" s="1" t="n">
        <v>46032</v>
      </c>
      <c r="D125" t="inlineStr">
        <is>
          <t>ÖREBRO LÄN</t>
        </is>
      </c>
      <c r="E125" t="inlineStr">
        <is>
          <t>NORA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23277-2024</t>
        </is>
      </c>
      <c r="B126" s="1" t="n">
        <v>45453.40982638889</v>
      </c>
      <c r="C126" s="1" t="n">
        <v>46032</v>
      </c>
      <c r="D126" t="inlineStr">
        <is>
          <t>ÖREBRO LÄN</t>
        </is>
      </c>
      <c r="E126" t="inlineStr">
        <is>
          <t>NORA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9457-2025</t>
        </is>
      </c>
      <c r="B127" s="1" t="n">
        <v>45714</v>
      </c>
      <c r="C127" s="1" t="n">
        <v>46032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26657-2025</t>
        </is>
      </c>
      <c r="B128" s="1" t="n">
        <v>45810.39180555556</v>
      </c>
      <c r="C128" s="1" t="n">
        <v>46032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38179-2023</t>
        </is>
      </c>
      <c r="B129" s="1" t="n">
        <v>45161.45337962963</v>
      </c>
      <c r="C129" s="1" t="n">
        <v>46032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43535-2023</t>
        </is>
      </c>
      <c r="B130" s="1" t="n">
        <v>45184</v>
      </c>
      <c r="C130" s="1" t="n">
        <v>46032</v>
      </c>
      <c r="D130" t="inlineStr">
        <is>
          <t>ÖREBRO LÄN</t>
        </is>
      </c>
      <c r="E130" t="inlineStr">
        <is>
          <t>NORA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43206-2025</t>
        </is>
      </c>
      <c r="B131" s="1" t="n">
        <v>45910.44984953704</v>
      </c>
      <c r="C131" s="1" t="n">
        <v>46032</v>
      </c>
      <c r="D131" t="inlineStr">
        <is>
          <t>ÖREBRO LÄN</t>
        </is>
      </c>
      <c r="E131" t="inlineStr">
        <is>
          <t>NORA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35675-2023</t>
        </is>
      </c>
      <c r="B132" s="1" t="n">
        <v>45147</v>
      </c>
      <c r="C132" s="1" t="n">
        <v>46032</v>
      </c>
      <c r="D132" t="inlineStr">
        <is>
          <t>ÖREBRO LÄN</t>
        </is>
      </c>
      <c r="E132" t="inlineStr">
        <is>
          <t>NORA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39257-2023</t>
        </is>
      </c>
      <c r="B133" s="1" t="n">
        <v>45166.48097222222</v>
      </c>
      <c r="C133" s="1" t="n">
        <v>46032</v>
      </c>
      <c r="D133" t="inlineStr">
        <is>
          <t>ÖREBRO LÄN</t>
        </is>
      </c>
      <c r="E133" t="inlineStr">
        <is>
          <t>NORA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44386.38070601852</v>
      </c>
      <c r="C134" s="1" t="n">
        <v>46032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27844-2025</t>
        </is>
      </c>
      <c r="B135" s="1" t="n">
        <v>45817.39009259259</v>
      </c>
      <c r="C135" s="1" t="n">
        <v>46032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59607-2024</t>
        </is>
      </c>
      <c r="B136" s="1" t="n">
        <v>45638.74914351852</v>
      </c>
      <c r="C136" s="1" t="n">
        <v>46032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34759-2024</t>
        </is>
      </c>
      <c r="B137" s="1" t="n">
        <v>45526</v>
      </c>
      <c r="C137" s="1" t="n">
        <v>46032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27878-2025</t>
        </is>
      </c>
      <c r="B138" s="1" t="n">
        <v>45817.443125</v>
      </c>
      <c r="C138" s="1" t="n">
        <v>46032</v>
      </c>
      <c r="D138" t="inlineStr">
        <is>
          <t>ÖREBRO LÄN</t>
        </is>
      </c>
      <c r="E138" t="inlineStr">
        <is>
          <t>NORA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60301-2023</t>
        </is>
      </c>
      <c r="B139" s="1" t="n">
        <v>45258</v>
      </c>
      <c r="C139" s="1" t="n">
        <v>46032</v>
      </c>
      <c r="D139" t="inlineStr">
        <is>
          <t>ÖREBRO LÄN</t>
        </is>
      </c>
      <c r="E139" t="inlineStr">
        <is>
          <t>NORA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26021-2023</t>
        </is>
      </c>
      <c r="B140" s="1" t="n">
        <v>45091.29033564815</v>
      </c>
      <c r="C140" s="1" t="n">
        <v>46032</v>
      </c>
      <c r="D140" t="inlineStr">
        <is>
          <t>ÖREBRO LÄN</t>
        </is>
      </c>
      <c r="E140" t="inlineStr">
        <is>
          <t>NORA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41669-2021</t>
        </is>
      </c>
      <c r="B141" s="1" t="n">
        <v>44425</v>
      </c>
      <c r="C141" s="1" t="n">
        <v>46032</v>
      </c>
      <c r="D141" t="inlineStr">
        <is>
          <t>ÖREBRO LÄN</t>
        </is>
      </c>
      <c r="E141" t="inlineStr">
        <is>
          <t>NORA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24820-2024</t>
        </is>
      </c>
      <c r="B142" s="1" t="n">
        <v>45461.3465625</v>
      </c>
      <c r="C142" s="1" t="n">
        <v>46032</v>
      </c>
      <c r="D142" t="inlineStr">
        <is>
          <t>ÖREBRO LÄN</t>
        </is>
      </c>
      <c r="E142" t="inlineStr">
        <is>
          <t>NORA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60548-2025</t>
        </is>
      </c>
      <c r="B143" s="1" t="n">
        <v>45995.71252314815</v>
      </c>
      <c r="C143" s="1" t="n">
        <v>46032</v>
      </c>
      <c r="D143" t="inlineStr">
        <is>
          <t>ÖREBRO LÄN</t>
        </is>
      </c>
      <c r="E143" t="inlineStr">
        <is>
          <t>NORA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39707-2022</t>
        </is>
      </c>
      <c r="B144" s="1" t="n">
        <v>44818.95277777778</v>
      </c>
      <c r="C144" s="1" t="n">
        <v>46032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47030-2025</t>
        </is>
      </c>
      <c r="B145" s="1" t="n">
        <v>45929.58944444444</v>
      </c>
      <c r="C145" s="1" t="n">
        <v>46032</v>
      </c>
      <c r="D145" t="inlineStr">
        <is>
          <t>ÖREBRO LÄN</t>
        </is>
      </c>
      <c r="E145" t="inlineStr">
        <is>
          <t>NORA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24821-2024</t>
        </is>
      </c>
      <c r="B146" s="1" t="n">
        <v>45461.34765046297</v>
      </c>
      <c r="C146" s="1" t="n">
        <v>46032</v>
      </c>
      <c r="D146" t="inlineStr">
        <is>
          <t>ÖREBRO LÄN</t>
        </is>
      </c>
      <c r="E146" t="inlineStr">
        <is>
          <t>NORA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24833-2024</t>
        </is>
      </c>
      <c r="B147" s="1" t="n">
        <v>45461.39246527778</v>
      </c>
      <c r="C147" s="1" t="n">
        <v>46032</v>
      </c>
      <c r="D147" t="inlineStr">
        <is>
          <t>ÖREBRO LÄN</t>
        </is>
      </c>
      <c r="E147" t="inlineStr">
        <is>
          <t>NORA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41696-2023</t>
        </is>
      </c>
      <c r="B148" s="1" t="n">
        <v>45176</v>
      </c>
      <c r="C148" s="1" t="n">
        <v>46032</v>
      </c>
      <c r="D148" t="inlineStr">
        <is>
          <t>ÖREBRO LÄN</t>
        </is>
      </c>
      <c r="E148" t="inlineStr">
        <is>
          <t>NORA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16109-2024</t>
        </is>
      </c>
      <c r="B149" s="1" t="n">
        <v>45406.46753472222</v>
      </c>
      <c r="C149" s="1" t="n">
        <v>46032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12183-2025</t>
        </is>
      </c>
      <c r="B150" s="1" t="n">
        <v>45729.46353009259</v>
      </c>
      <c r="C150" s="1" t="n">
        <v>46032</v>
      </c>
      <c r="D150" t="inlineStr">
        <is>
          <t>ÖREBRO LÄN</t>
        </is>
      </c>
      <c r="E150" t="inlineStr">
        <is>
          <t>NORA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52380-2025</t>
        </is>
      </c>
      <c r="B151" s="1" t="n">
        <v>45953.94951388889</v>
      </c>
      <c r="C151" s="1" t="n">
        <v>46032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46410-2021</t>
        </is>
      </c>
      <c r="B152" s="1" t="n">
        <v>44444</v>
      </c>
      <c r="C152" s="1" t="n">
        <v>46032</v>
      </c>
      <c r="D152" t="inlineStr">
        <is>
          <t>ÖREBRO LÄN</t>
        </is>
      </c>
      <c r="E152" t="inlineStr">
        <is>
          <t>NORA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60843-2025</t>
        </is>
      </c>
      <c r="B153" s="1" t="n">
        <v>45999.48747685185</v>
      </c>
      <c r="C153" s="1" t="n">
        <v>46032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48229-2025</t>
        </is>
      </c>
      <c r="B154" s="1" t="n">
        <v>45933.51694444445</v>
      </c>
      <c r="C154" s="1" t="n">
        <v>46032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32501-2025</t>
        </is>
      </c>
      <c r="B155" s="1" t="n">
        <v>45838.46260416666</v>
      </c>
      <c r="C155" s="1" t="n">
        <v>46032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44481.78949074074</v>
      </c>
      <c r="C156" s="1" t="n">
        <v>46032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57316-2022</t>
        </is>
      </c>
      <c r="B157" s="1" t="n">
        <v>44896.32079861111</v>
      </c>
      <c r="C157" s="1" t="n">
        <v>46032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43843-2023</t>
        </is>
      </c>
      <c r="B158" s="1" t="n">
        <v>45187</v>
      </c>
      <c r="C158" s="1" t="n">
        <v>46032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43919-2023</t>
        </is>
      </c>
      <c r="B159" s="1" t="n">
        <v>45182</v>
      </c>
      <c r="C159" s="1" t="n">
        <v>46032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48775-2025</t>
        </is>
      </c>
      <c r="B160" s="1" t="n">
        <v>45937.00422453704</v>
      </c>
      <c r="C160" s="1" t="n">
        <v>46032</v>
      </c>
      <c r="D160" t="inlineStr">
        <is>
          <t>ÖREBRO LÄN</t>
        </is>
      </c>
      <c r="E160" t="inlineStr">
        <is>
          <t>NORA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64090-2023</t>
        </is>
      </c>
      <c r="B161" s="1" t="n">
        <v>45279.43923611111</v>
      </c>
      <c r="C161" s="1" t="n">
        <v>46032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29669-2025</t>
        </is>
      </c>
      <c r="B162" s="1" t="n">
        <v>45825</v>
      </c>
      <c r="C162" s="1" t="n">
        <v>46032</v>
      </c>
      <c r="D162" t="inlineStr">
        <is>
          <t>ÖREBRO LÄN</t>
        </is>
      </c>
      <c r="E162" t="inlineStr">
        <is>
          <t>NORA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12907-2025</t>
        </is>
      </c>
      <c r="B163" s="1" t="n">
        <v>45733.8203587963</v>
      </c>
      <c r="C163" s="1" t="n">
        <v>46032</v>
      </c>
      <c r="D163" t="inlineStr">
        <is>
          <t>ÖREBRO LÄN</t>
        </is>
      </c>
      <c r="E163" t="inlineStr">
        <is>
          <t>NORA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6179-2021</t>
        </is>
      </c>
      <c r="B164" s="1" t="n">
        <v>44232</v>
      </c>
      <c r="C164" s="1" t="n">
        <v>46032</v>
      </c>
      <c r="D164" t="inlineStr">
        <is>
          <t>ÖREBRO LÄN</t>
        </is>
      </c>
      <c r="E164" t="inlineStr">
        <is>
          <t>NORA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60873-2025</t>
        </is>
      </c>
      <c r="B165" s="1" t="n">
        <v>45999.55505787037</v>
      </c>
      <c r="C165" s="1" t="n">
        <v>46032</v>
      </c>
      <c r="D165" t="inlineStr">
        <is>
          <t>ÖREBRO LÄN</t>
        </is>
      </c>
      <c r="E165" t="inlineStr">
        <is>
          <t>NORA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60892-2025</t>
        </is>
      </c>
      <c r="B166" s="1" t="n">
        <v>45999.57278935185</v>
      </c>
      <c r="C166" s="1" t="n">
        <v>46032</v>
      </c>
      <c r="D166" t="inlineStr">
        <is>
          <t>ÖREBRO LÄN</t>
        </is>
      </c>
      <c r="E166" t="inlineStr">
        <is>
          <t>NORA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34835-2025</t>
        </is>
      </c>
      <c r="B167" s="1" t="n">
        <v>45849.38855324074</v>
      </c>
      <c r="C167" s="1" t="n">
        <v>46032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5049-2022</t>
        </is>
      </c>
      <c r="B168" s="1" t="n">
        <v>44593</v>
      </c>
      <c r="C168" s="1" t="n">
        <v>46032</v>
      </c>
      <c r="D168" t="inlineStr">
        <is>
          <t>ÖREBRO LÄN</t>
        </is>
      </c>
      <c r="E168" t="inlineStr">
        <is>
          <t>NORA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59056-2024</t>
        </is>
      </c>
      <c r="B169" s="1" t="n">
        <v>45636</v>
      </c>
      <c r="C169" s="1" t="n">
        <v>46032</v>
      </c>
      <c r="D169" t="inlineStr">
        <is>
          <t>ÖREBRO LÄN</t>
        </is>
      </c>
      <c r="E169" t="inlineStr">
        <is>
          <t>NORA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34824-2025</t>
        </is>
      </c>
      <c r="B170" s="1" t="n">
        <v>45849.38061342593</v>
      </c>
      <c r="C170" s="1" t="n">
        <v>46032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34827-2025</t>
        </is>
      </c>
      <c r="B171" s="1" t="n">
        <v>45849.38547453703</v>
      </c>
      <c r="C171" s="1" t="n">
        <v>46032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25723-2023</t>
        </is>
      </c>
      <c r="B172" s="1" t="n">
        <v>45090.3674537037</v>
      </c>
      <c r="C172" s="1" t="n">
        <v>46032</v>
      </c>
      <c r="D172" t="inlineStr">
        <is>
          <t>ÖREBRO LÄN</t>
        </is>
      </c>
      <c r="E172" t="inlineStr">
        <is>
          <t>NORA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34825-2025</t>
        </is>
      </c>
      <c r="B173" s="1" t="n">
        <v>45849.38262731482</v>
      </c>
      <c r="C173" s="1" t="n">
        <v>46032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14477-2025</t>
        </is>
      </c>
      <c r="B174" s="1" t="n">
        <v>45741.58723379629</v>
      </c>
      <c r="C174" s="1" t="n">
        <v>46032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9295-2025</t>
        </is>
      </c>
      <c r="B175" s="1" t="n">
        <v>45714</v>
      </c>
      <c r="C175" s="1" t="n">
        <v>46032</v>
      </c>
      <c r="D175" t="inlineStr">
        <is>
          <t>ÖREBRO LÄN</t>
        </is>
      </c>
      <c r="E175" t="inlineStr">
        <is>
          <t>NORA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14482-2025</t>
        </is>
      </c>
      <c r="B176" s="1" t="n">
        <v>45741.59662037037</v>
      </c>
      <c r="C176" s="1" t="n">
        <v>46032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4723-2023</t>
        </is>
      </c>
      <c r="B177" s="1" t="n">
        <v>44957.51490740741</v>
      </c>
      <c r="C177" s="1" t="n">
        <v>46032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56904-2024</t>
        </is>
      </c>
      <c r="B178" s="1" t="n">
        <v>45628.58696759259</v>
      </c>
      <c r="C178" s="1" t="n">
        <v>46032</v>
      </c>
      <c r="D178" t="inlineStr">
        <is>
          <t>ÖREBRO LÄN</t>
        </is>
      </c>
      <c r="E178" t="inlineStr">
        <is>
          <t>NORA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53129-2023</t>
        </is>
      </c>
      <c r="B179" s="1" t="n">
        <v>45229</v>
      </c>
      <c r="C179" s="1" t="n">
        <v>46032</v>
      </c>
      <c r="D179" t="inlineStr">
        <is>
          <t>ÖREBRO LÄN</t>
        </is>
      </c>
      <c r="E179" t="inlineStr">
        <is>
          <t>NORA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46688-2023</t>
        </is>
      </c>
      <c r="B180" s="1" t="n">
        <v>45198.51881944444</v>
      </c>
      <c r="C180" s="1" t="n">
        <v>46032</v>
      </c>
      <c r="D180" t="inlineStr">
        <is>
          <t>ÖREBRO LÄN</t>
        </is>
      </c>
      <c r="E180" t="inlineStr">
        <is>
          <t>NORA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12646-2024</t>
        </is>
      </c>
      <c r="B181" s="1" t="n">
        <v>45384.34563657407</v>
      </c>
      <c r="C181" s="1" t="n">
        <v>46032</v>
      </c>
      <c r="D181" t="inlineStr">
        <is>
          <t>ÖREBRO LÄN</t>
        </is>
      </c>
      <c r="E181" t="inlineStr">
        <is>
          <t>NORA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36089-2025</t>
        </is>
      </c>
      <c r="B182" s="1" t="n">
        <v>45866</v>
      </c>
      <c r="C182" s="1" t="n">
        <v>46032</v>
      </c>
      <c r="D182" t="inlineStr">
        <is>
          <t>ÖREBRO LÄN</t>
        </is>
      </c>
      <c r="E182" t="inlineStr">
        <is>
          <t>NORA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44613.55984953704</v>
      </c>
      <c r="C183" s="1" t="n">
        <v>46032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24822-2024</t>
        </is>
      </c>
      <c r="B184" s="1" t="n">
        <v>45461.34818287037</v>
      </c>
      <c r="C184" s="1" t="n">
        <v>46032</v>
      </c>
      <c r="D184" t="inlineStr">
        <is>
          <t>ÖREBRO LÄN</t>
        </is>
      </c>
      <c r="E184" t="inlineStr">
        <is>
          <t>NORA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49498-2024</t>
        </is>
      </c>
      <c r="B185" s="1" t="n">
        <v>45596.3672337963</v>
      </c>
      <c r="C185" s="1" t="n">
        <v>46032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5674-2023</t>
        </is>
      </c>
      <c r="B186" s="1" t="n">
        <v>44960.66104166667</v>
      </c>
      <c r="C186" s="1" t="n">
        <v>46032</v>
      </c>
      <c r="D186" t="inlineStr">
        <is>
          <t>ÖREBRO LÄN</t>
        </is>
      </c>
      <c r="E186" t="inlineStr">
        <is>
          <t>NORA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46544-2021</t>
        </is>
      </c>
      <c r="B187" s="1" t="n">
        <v>44445</v>
      </c>
      <c r="C187" s="1" t="n">
        <v>46032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37550-2025</t>
        </is>
      </c>
      <c r="B188" s="1" t="n">
        <v>45879.91046296297</v>
      </c>
      <c r="C188" s="1" t="n">
        <v>46032</v>
      </c>
      <c r="D188" t="inlineStr">
        <is>
          <t>ÖREBRO LÄN</t>
        </is>
      </c>
      <c r="E188" t="inlineStr">
        <is>
          <t>NORA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45159-2023</t>
        </is>
      </c>
      <c r="B189" s="1" t="n">
        <v>45191.49001157407</v>
      </c>
      <c r="C189" s="1" t="n">
        <v>46032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53600-2025</t>
        </is>
      </c>
      <c r="B190" s="1" t="n">
        <v>45960</v>
      </c>
      <c r="C190" s="1" t="n">
        <v>46032</v>
      </c>
      <c r="D190" t="inlineStr">
        <is>
          <t>ÖREBRO LÄN</t>
        </is>
      </c>
      <c r="E190" t="inlineStr">
        <is>
          <t>NORA</t>
        </is>
      </c>
      <c r="F190" t="inlineStr">
        <is>
          <t>Kommuner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58829-2023</t>
        </is>
      </c>
      <c r="B191" s="1" t="n">
        <v>45252</v>
      </c>
      <c r="C191" s="1" t="n">
        <v>46032</v>
      </c>
      <c r="D191" t="inlineStr">
        <is>
          <t>ÖREBRO LÄN</t>
        </is>
      </c>
      <c r="E191" t="inlineStr">
        <is>
          <t>NORA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3309-2024</t>
        </is>
      </c>
      <c r="B192" s="1" t="n">
        <v>45317</v>
      </c>
      <c r="C192" s="1" t="n">
        <v>46032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46198-2023</t>
        </is>
      </c>
      <c r="B193" s="1" t="n">
        <v>45196</v>
      </c>
      <c r="C193" s="1" t="n">
        <v>46032</v>
      </c>
      <c r="D193" t="inlineStr">
        <is>
          <t>ÖREBRO LÄN</t>
        </is>
      </c>
      <c r="E193" t="inlineStr">
        <is>
          <t>NORA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36064-2023</t>
        </is>
      </c>
      <c r="B194" s="1" t="n">
        <v>45149</v>
      </c>
      <c r="C194" s="1" t="n">
        <v>46032</v>
      </c>
      <c r="D194" t="inlineStr">
        <is>
          <t>ÖREBRO LÄN</t>
        </is>
      </c>
      <c r="E194" t="inlineStr">
        <is>
          <t>NORA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11864-2025</t>
        </is>
      </c>
      <c r="B195" s="1" t="n">
        <v>45728.41668981482</v>
      </c>
      <c r="C195" s="1" t="n">
        <v>46032</v>
      </c>
      <c r="D195" t="inlineStr">
        <is>
          <t>ÖREBRO LÄN</t>
        </is>
      </c>
      <c r="E195" t="inlineStr">
        <is>
          <t>NORA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60152-2025</t>
        </is>
      </c>
      <c r="B196" s="1" t="n">
        <v>45994</v>
      </c>
      <c r="C196" s="1" t="n">
        <v>46032</v>
      </c>
      <c r="D196" t="inlineStr">
        <is>
          <t>ÖREBRO LÄN</t>
        </is>
      </c>
      <c r="E196" t="inlineStr">
        <is>
          <t>NORA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43254-2022</t>
        </is>
      </c>
      <c r="B197" s="1" t="n">
        <v>44834</v>
      </c>
      <c r="C197" s="1" t="n">
        <v>46032</v>
      </c>
      <c r="D197" t="inlineStr">
        <is>
          <t>ÖREBRO LÄN</t>
        </is>
      </c>
      <c r="E197" t="inlineStr">
        <is>
          <t>NORA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16529-2024</t>
        </is>
      </c>
      <c r="B198" s="1" t="n">
        <v>45408.42216435185</v>
      </c>
      <c r="C198" s="1" t="n">
        <v>46032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54595-2025</t>
        </is>
      </c>
      <c r="B199" s="1" t="n">
        <v>45965.7556712963</v>
      </c>
      <c r="C199" s="1" t="n">
        <v>46032</v>
      </c>
      <c r="D199" t="inlineStr">
        <is>
          <t>ÖREBRO LÄN</t>
        </is>
      </c>
      <c r="E199" t="inlineStr">
        <is>
          <t>NORA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60166-2025</t>
        </is>
      </c>
      <c r="B200" s="1" t="n">
        <v>45994</v>
      </c>
      <c r="C200" s="1" t="n">
        <v>46032</v>
      </c>
      <c r="D200" t="inlineStr">
        <is>
          <t>ÖREBRO LÄN</t>
        </is>
      </c>
      <c r="E200" t="inlineStr">
        <is>
          <t>NORA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60169-2025</t>
        </is>
      </c>
      <c r="B201" s="1" t="n">
        <v>45994</v>
      </c>
      <c r="C201" s="1" t="n">
        <v>46032</v>
      </c>
      <c r="D201" t="inlineStr">
        <is>
          <t>ÖREBRO LÄN</t>
        </is>
      </c>
      <c r="E201" t="inlineStr">
        <is>
          <t>NORA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55035-2025</t>
        </is>
      </c>
      <c r="B202" s="1" t="n">
        <v>45967.64612268518</v>
      </c>
      <c r="C202" s="1" t="n">
        <v>46032</v>
      </c>
      <c r="D202" t="inlineStr">
        <is>
          <t>ÖREBRO LÄN</t>
        </is>
      </c>
      <c r="E202" t="inlineStr">
        <is>
          <t>NORA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21449-2021</t>
        </is>
      </c>
      <c r="B203" s="1" t="n">
        <v>44321.46297453704</v>
      </c>
      <c r="C203" s="1" t="n">
        <v>46032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55869-2025</t>
        </is>
      </c>
      <c r="B204" s="1" t="n">
        <v>45973.35285879629</v>
      </c>
      <c r="C204" s="1" t="n">
        <v>46032</v>
      </c>
      <c r="D204" t="inlineStr">
        <is>
          <t>ÖREBRO LÄN</t>
        </is>
      </c>
      <c r="E204" t="inlineStr">
        <is>
          <t>NORA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56565-2025</t>
        </is>
      </c>
      <c r="B205" s="1" t="n">
        <v>45974</v>
      </c>
      <c r="C205" s="1" t="n">
        <v>46032</v>
      </c>
      <c r="D205" t="inlineStr">
        <is>
          <t>ÖREBRO LÄN</t>
        </is>
      </c>
      <c r="E205" t="inlineStr">
        <is>
          <t>NORA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64089-2023</t>
        </is>
      </c>
      <c r="B206" s="1" t="n">
        <v>45279</v>
      </c>
      <c r="C206" s="1" t="n">
        <v>46032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45229-2023</t>
        </is>
      </c>
      <c r="B207" s="1" t="n">
        <v>45191</v>
      </c>
      <c r="C207" s="1" t="n">
        <v>46032</v>
      </c>
      <c r="D207" t="inlineStr">
        <is>
          <t>ÖREBRO LÄN</t>
        </is>
      </c>
      <c r="E207" t="inlineStr">
        <is>
          <t>NORA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10079-2024</t>
        </is>
      </c>
      <c r="B208" s="1" t="n">
        <v>45364.42604166667</v>
      </c>
      <c r="C208" s="1" t="n">
        <v>46032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64026-2025</t>
        </is>
      </c>
      <c r="B209" s="1" t="n">
        <v>46021.47569444445</v>
      </c>
      <c r="C209" s="1" t="n">
        <v>46032</v>
      </c>
      <c r="D209" t="inlineStr">
        <is>
          <t>ÖREBRO LÄN</t>
        </is>
      </c>
      <c r="E209" t="inlineStr">
        <is>
          <t>NORA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49959-2023</t>
        </is>
      </c>
      <c r="B210" s="1" t="n">
        <v>45215.38530092593</v>
      </c>
      <c r="C210" s="1" t="n">
        <v>46032</v>
      </c>
      <c r="D210" t="inlineStr">
        <is>
          <t>ÖREBRO LÄN</t>
        </is>
      </c>
      <c r="E210" t="inlineStr">
        <is>
          <t>NORA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57639-2023</t>
        </is>
      </c>
      <c r="B211" s="1" t="n">
        <v>45246</v>
      </c>
      <c r="C211" s="1" t="n">
        <v>46032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16957-2025</t>
        </is>
      </c>
      <c r="B212" s="1" t="n">
        <v>45755.44732638889</v>
      </c>
      <c r="C212" s="1" t="n">
        <v>46032</v>
      </c>
      <c r="D212" t="inlineStr">
        <is>
          <t>ÖREBRO LÄN</t>
        </is>
      </c>
      <c r="E212" t="inlineStr">
        <is>
          <t>NORA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42049-2023</t>
        </is>
      </c>
      <c r="B213" s="1" t="n">
        <v>45177</v>
      </c>
      <c r="C213" s="1" t="n">
        <v>46032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58521-2025</t>
        </is>
      </c>
      <c r="B214" s="1" t="n">
        <v>45985</v>
      </c>
      <c r="C214" s="1" t="n">
        <v>46032</v>
      </c>
      <c r="D214" t="inlineStr">
        <is>
          <t>ÖREBRO LÄN</t>
        </is>
      </c>
      <c r="E214" t="inlineStr">
        <is>
          <t>NORA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29112-2023</t>
        </is>
      </c>
      <c r="B215" s="1" t="n">
        <v>45105.39409722222</v>
      </c>
      <c r="C215" s="1" t="n">
        <v>46032</v>
      </c>
      <c r="D215" t="inlineStr">
        <is>
          <t>ÖREBRO LÄN</t>
        </is>
      </c>
      <c r="E215" t="inlineStr">
        <is>
          <t>NORA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48610-2023</t>
        </is>
      </c>
      <c r="B216" s="1" t="n">
        <v>45208</v>
      </c>
      <c r="C216" s="1" t="n">
        <v>46032</v>
      </c>
      <c r="D216" t="inlineStr">
        <is>
          <t>ÖREBRO LÄN</t>
        </is>
      </c>
      <c r="E216" t="inlineStr">
        <is>
          <t>NORA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34206-2022</t>
        </is>
      </c>
      <c r="B217" s="1" t="n">
        <v>44791.65267361111</v>
      </c>
      <c r="C217" s="1" t="n">
        <v>46032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38177-2023</t>
        </is>
      </c>
      <c r="B218" s="1" t="n">
        <v>45161.44978009259</v>
      </c>
      <c r="C218" s="1" t="n">
        <v>46032</v>
      </c>
      <c r="D218" t="inlineStr">
        <is>
          <t>ÖREBRO LÄN</t>
        </is>
      </c>
      <c r="E218" t="inlineStr">
        <is>
          <t>NORA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12699-2023</t>
        </is>
      </c>
      <c r="B219" s="1" t="n">
        <v>45000</v>
      </c>
      <c r="C219" s="1" t="n">
        <v>46032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14025-2021</t>
        </is>
      </c>
      <c r="B220" s="1" t="n">
        <v>44277.65498842593</v>
      </c>
      <c r="C220" s="1" t="n">
        <v>46032</v>
      </c>
      <c r="D220" t="inlineStr">
        <is>
          <t>ÖREBRO LÄN</t>
        </is>
      </c>
      <c r="E220" t="inlineStr">
        <is>
          <t>NORA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14315-2025</t>
        </is>
      </c>
      <c r="B221" s="1" t="n">
        <v>45740.72116898148</v>
      </c>
      <c r="C221" s="1" t="n">
        <v>46032</v>
      </c>
      <c r="D221" t="inlineStr">
        <is>
          <t>ÖREBRO LÄN</t>
        </is>
      </c>
      <c r="E221" t="inlineStr">
        <is>
          <t>NORA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16540-2024</t>
        </is>
      </c>
      <c r="B222" s="1" t="n">
        <v>45408.4334837963</v>
      </c>
      <c r="C222" s="1" t="n">
        <v>46032</v>
      </c>
      <c r="D222" t="inlineStr">
        <is>
          <t>ÖREBRO LÄN</t>
        </is>
      </c>
      <c r="E222" t="inlineStr">
        <is>
          <t>NORA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40710-2021</t>
        </is>
      </c>
      <c r="B223" s="1" t="n">
        <v>44420</v>
      </c>
      <c r="C223" s="1" t="n">
        <v>46032</v>
      </c>
      <c r="D223" t="inlineStr">
        <is>
          <t>ÖREBRO LÄN</t>
        </is>
      </c>
      <c r="E223" t="inlineStr">
        <is>
          <t>NORA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2413-2024</t>
        </is>
      </c>
      <c r="B224" s="1" t="n">
        <v>45310</v>
      </c>
      <c r="C224" s="1" t="n">
        <v>46032</v>
      </c>
      <c r="D224" t="inlineStr">
        <is>
          <t>ÖREBRO LÄN</t>
        </is>
      </c>
      <c r="E224" t="inlineStr">
        <is>
          <t>NORA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45645-2022</t>
        </is>
      </c>
      <c r="B225" s="1" t="n">
        <v>44845.65557870371</v>
      </c>
      <c r="C225" s="1" t="n">
        <v>46032</v>
      </c>
      <c r="D225" t="inlineStr">
        <is>
          <t>ÖREBRO LÄN</t>
        </is>
      </c>
      <c r="E225" t="inlineStr">
        <is>
          <t>NORA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40497-2024</t>
        </is>
      </c>
      <c r="B226" s="1" t="n">
        <v>45555.57101851852</v>
      </c>
      <c r="C226" s="1" t="n">
        <v>46032</v>
      </c>
      <c r="D226" t="inlineStr">
        <is>
          <t>ÖREBRO LÄN</t>
        </is>
      </c>
      <c r="E226" t="inlineStr">
        <is>
          <t>NORA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34722-2024</t>
        </is>
      </c>
      <c r="B227" s="1" t="n">
        <v>45526</v>
      </c>
      <c r="C227" s="1" t="n">
        <v>46032</v>
      </c>
      <c r="D227" t="inlineStr">
        <is>
          <t>ÖREBRO LÄN</t>
        </is>
      </c>
      <c r="E227" t="inlineStr">
        <is>
          <t>NORA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27767-2023</t>
        </is>
      </c>
      <c r="B228" s="1" t="n">
        <v>45098.41659722223</v>
      </c>
      <c r="C228" s="1" t="n">
        <v>46032</v>
      </c>
      <c r="D228" t="inlineStr">
        <is>
          <t>ÖREBRO LÄN</t>
        </is>
      </c>
      <c r="E228" t="inlineStr">
        <is>
          <t>NORA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13585-2024</t>
        </is>
      </c>
      <c r="B229" s="1" t="n">
        <v>45389.85309027778</v>
      </c>
      <c r="C229" s="1" t="n">
        <v>46032</v>
      </c>
      <c r="D229" t="inlineStr">
        <is>
          <t>ÖREBRO LÄN</t>
        </is>
      </c>
      <c r="E229" t="inlineStr">
        <is>
          <t>NORA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4977-2023</t>
        </is>
      </c>
      <c r="B230" s="1" t="n">
        <v>44958.46266203704</v>
      </c>
      <c r="C230" s="1" t="n">
        <v>46032</v>
      </c>
      <c r="D230" t="inlineStr">
        <is>
          <t>ÖREBRO LÄN</t>
        </is>
      </c>
      <c r="E230" t="inlineStr">
        <is>
          <t>NORA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63825-2023</t>
        </is>
      </c>
      <c r="B231" s="1" t="n">
        <v>45278</v>
      </c>
      <c r="C231" s="1" t="n">
        <v>46032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24818-2024</t>
        </is>
      </c>
      <c r="B232" s="1" t="n">
        <v>45461.33123842593</v>
      </c>
      <c r="C232" s="1" t="n">
        <v>46032</v>
      </c>
      <c r="D232" t="inlineStr">
        <is>
          <t>ÖREBRO LÄN</t>
        </is>
      </c>
      <c r="E232" t="inlineStr">
        <is>
          <t>NORA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1521-2025</t>
        </is>
      </c>
      <c r="B233" s="1" t="n">
        <v>45670</v>
      </c>
      <c r="C233" s="1" t="n">
        <v>46032</v>
      </c>
      <c r="D233" t="inlineStr">
        <is>
          <t>ÖREBRO LÄN</t>
        </is>
      </c>
      <c r="E233" t="inlineStr">
        <is>
          <t>NORA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53472-2022</t>
        </is>
      </c>
      <c r="B234" s="1" t="n">
        <v>44879</v>
      </c>
      <c r="C234" s="1" t="n">
        <v>46032</v>
      </c>
      <c r="D234" t="inlineStr">
        <is>
          <t>ÖREBRO LÄN</t>
        </is>
      </c>
      <c r="E234" t="inlineStr">
        <is>
          <t>NORA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52379-2023</t>
        </is>
      </c>
      <c r="B235" s="1" t="n">
        <v>45224</v>
      </c>
      <c r="C235" s="1" t="n">
        <v>46032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17352-2024</t>
        </is>
      </c>
      <c r="B236" s="1" t="n">
        <v>45414.5908912037</v>
      </c>
      <c r="C236" s="1" t="n">
        <v>46032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16537-2024</t>
        </is>
      </c>
      <c r="B237" s="1" t="n">
        <v>45408.43247685185</v>
      </c>
      <c r="C237" s="1" t="n">
        <v>46032</v>
      </c>
      <c r="D237" t="inlineStr">
        <is>
          <t>ÖREBRO LÄN</t>
        </is>
      </c>
      <c r="E237" t="inlineStr">
        <is>
          <t>NORA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16557-2024</t>
        </is>
      </c>
      <c r="B238" s="1" t="n">
        <v>45408.45260416667</v>
      </c>
      <c r="C238" s="1" t="n">
        <v>46032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17770-2022</t>
        </is>
      </c>
      <c r="B239" s="1" t="n">
        <v>44682.64953703704</v>
      </c>
      <c r="C239" s="1" t="n">
        <v>46032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48707-2022</t>
        </is>
      </c>
      <c r="B240" s="1" t="n">
        <v>44859</v>
      </c>
      <c r="C240" s="1" t="n">
        <v>46032</v>
      </c>
      <c r="D240" t="inlineStr">
        <is>
          <t>ÖREBRO LÄN</t>
        </is>
      </c>
      <c r="E240" t="inlineStr">
        <is>
          <t>NORA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56136-2022</t>
        </is>
      </c>
      <c r="B241" s="1" t="n">
        <v>44889</v>
      </c>
      <c r="C241" s="1" t="n">
        <v>46032</v>
      </c>
      <c r="D241" t="inlineStr">
        <is>
          <t>ÖREBRO LÄN</t>
        </is>
      </c>
      <c r="E241" t="inlineStr">
        <is>
          <t>NORA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7579-2024</t>
        </is>
      </c>
      <c r="B242" s="1" t="n">
        <v>45348</v>
      </c>
      <c r="C242" s="1" t="n">
        <v>46032</v>
      </c>
      <c r="D242" t="inlineStr">
        <is>
          <t>ÖREBRO LÄN</t>
        </is>
      </c>
      <c r="E242" t="inlineStr">
        <is>
          <t>NORA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27577-2024</t>
        </is>
      </c>
      <c r="B243" s="1" t="n">
        <v>45474.65008101852</v>
      </c>
      <c r="C243" s="1" t="n">
        <v>46032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26022-2023</t>
        </is>
      </c>
      <c r="B244" s="1" t="n">
        <v>45091.29174768519</v>
      </c>
      <c r="C244" s="1" t="n">
        <v>46032</v>
      </c>
      <c r="D244" t="inlineStr">
        <is>
          <t>ÖREBRO LÄN</t>
        </is>
      </c>
      <c r="E244" t="inlineStr">
        <is>
          <t>NORA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15012-2023</t>
        </is>
      </c>
      <c r="B245" s="1" t="n">
        <v>45015</v>
      </c>
      <c r="C245" s="1" t="n">
        <v>46032</v>
      </c>
      <c r="D245" t="inlineStr">
        <is>
          <t>ÖREBRO LÄN</t>
        </is>
      </c>
      <c r="E245" t="inlineStr">
        <is>
          <t>NORA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45234-2023</t>
        </is>
      </c>
      <c r="B246" s="1" t="n">
        <v>45191.59268518518</v>
      </c>
      <c r="C246" s="1" t="n">
        <v>46032</v>
      </c>
      <c r="D246" t="inlineStr">
        <is>
          <t>ÖREBRO LÄN</t>
        </is>
      </c>
      <c r="E246" t="inlineStr">
        <is>
          <t>NORA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60397-2022</t>
        </is>
      </c>
      <c r="B247" s="1" t="n">
        <v>44910.90956018519</v>
      </c>
      <c r="C247" s="1" t="n">
        <v>46032</v>
      </c>
      <c r="D247" t="inlineStr">
        <is>
          <t>ÖREBRO LÄN</t>
        </is>
      </c>
      <c r="E247" t="inlineStr">
        <is>
          <t>NORA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17716-2025</t>
        </is>
      </c>
      <c r="B248" s="1" t="n">
        <v>45758.44623842592</v>
      </c>
      <c r="C248" s="1" t="n">
        <v>46032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40339-2024</t>
        </is>
      </c>
      <c r="B249" s="1" t="n">
        <v>45555.33125</v>
      </c>
      <c r="C249" s="1" t="n">
        <v>46032</v>
      </c>
      <c r="D249" t="inlineStr">
        <is>
          <t>ÖREBRO LÄN</t>
        </is>
      </c>
      <c r="E249" t="inlineStr">
        <is>
          <t>NORA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26278-2021</t>
        </is>
      </c>
      <c r="B250" s="1" t="n">
        <v>44347</v>
      </c>
      <c r="C250" s="1" t="n">
        <v>46032</v>
      </c>
      <c r="D250" t="inlineStr">
        <is>
          <t>ÖREBRO LÄN</t>
        </is>
      </c>
      <c r="E250" t="inlineStr">
        <is>
          <t>NORA</t>
        </is>
      </c>
      <c r="F250" t="inlineStr">
        <is>
          <t>Naturvårdsverket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31957-2024</t>
        </is>
      </c>
      <c r="B251" s="1" t="n">
        <v>45510.49798611111</v>
      </c>
      <c r="C251" s="1" t="n">
        <v>46032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9754-2022</t>
        </is>
      </c>
      <c r="B252" s="1" t="n">
        <v>44618.81180555555</v>
      </c>
      <c r="C252" s="1" t="n">
        <v>46032</v>
      </c>
      <c r="D252" t="inlineStr">
        <is>
          <t>ÖREBRO LÄN</t>
        </is>
      </c>
      <c r="E252" t="inlineStr">
        <is>
          <t>NORA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33887-2024</t>
        </is>
      </c>
      <c r="B253" s="1" t="n">
        <v>45523.3167824074</v>
      </c>
      <c r="C253" s="1" t="n">
        <v>46032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35659-2023</t>
        </is>
      </c>
      <c r="B254" s="1" t="n">
        <v>45147</v>
      </c>
      <c r="C254" s="1" t="n">
        <v>46032</v>
      </c>
      <c r="D254" t="inlineStr">
        <is>
          <t>ÖREBRO LÄN</t>
        </is>
      </c>
      <c r="E254" t="inlineStr">
        <is>
          <t>NORA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17140-2022</t>
        </is>
      </c>
      <c r="B255" s="1" t="n">
        <v>44677.53418981482</v>
      </c>
      <c r="C255" s="1" t="n">
        <v>46032</v>
      </c>
      <c r="D255" t="inlineStr">
        <is>
          <t>ÖREBRO LÄN</t>
        </is>
      </c>
      <c r="E255" t="inlineStr">
        <is>
          <t>NORA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35330-2021</t>
        </is>
      </c>
      <c r="B256" s="1" t="n">
        <v>44384.81996527778</v>
      </c>
      <c r="C256" s="1" t="n">
        <v>46032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40126-2021</t>
        </is>
      </c>
      <c r="B257" s="1" t="n">
        <v>44418</v>
      </c>
      <c r="C257" s="1" t="n">
        <v>46032</v>
      </c>
      <c r="D257" t="inlineStr">
        <is>
          <t>ÖREBRO LÄN</t>
        </is>
      </c>
      <c r="E257" t="inlineStr">
        <is>
          <t>NORA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18134-2021</t>
        </is>
      </c>
      <c r="B258" s="1" t="n">
        <v>44302</v>
      </c>
      <c r="C258" s="1" t="n">
        <v>46032</v>
      </c>
      <c r="D258" t="inlineStr">
        <is>
          <t>ÖREBRO LÄN</t>
        </is>
      </c>
      <c r="E258" t="inlineStr">
        <is>
          <t>NORA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34026-2022</t>
        </is>
      </c>
      <c r="B259" s="1" t="n">
        <v>44791.32811342592</v>
      </c>
      <c r="C259" s="1" t="n">
        <v>46032</v>
      </c>
      <c r="D259" t="inlineStr">
        <is>
          <t>ÖREBRO LÄN</t>
        </is>
      </c>
      <c r="E259" t="inlineStr">
        <is>
          <t>NORA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24828-2024</t>
        </is>
      </c>
      <c r="B260" s="1" t="n">
        <v>45461.3750462963</v>
      </c>
      <c r="C260" s="1" t="n">
        <v>46032</v>
      </c>
      <c r="D260" t="inlineStr">
        <is>
          <t>ÖREBRO LÄN</t>
        </is>
      </c>
      <c r="E260" t="inlineStr">
        <is>
          <t>NORA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52505-2023</t>
        </is>
      </c>
      <c r="B261" s="1" t="n">
        <v>45225</v>
      </c>
      <c r="C261" s="1" t="n">
        <v>46032</v>
      </c>
      <c r="D261" t="inlineStr">
        <is>
          <t>ÖREBRO LÄN</t>
        </is>
      </c>
      <c r="E261" t="inlineStr">
        <is>
          <t>NORA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29018-2023</t>
        </is>
      </c>
      <c r="B262" s="1" t="n">
        <v>45104</v>
      </c>
      <c r="C262" s="1" t="n">
        <v>46032</v>
      </c>
      <c r="D262" t="inlineStr">
        <is>
          <t>ÖREBRO LÄN</t>
        </is>
      </c>
      <c r="E262" t="inlineStr">
        <is>
          <t>NORA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62217-2023</t>
        </is>
      </c>
      <c r="B263" s="1" t="n">
        <v>45267.51355324074</v>
      </c>
      <c r="C263" s="1" t="n">
        <v>46032</v>
      </c>
      <c r="D263" t="inlineStr">
        <is>
          <t>ÖREBRO LÄN</t>
        </is>
      </c>
      <c r="E263" t="inlineStr">
        <is>
          <t>NORA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34755-2024</t>
        </is>
      </c>
      <c r="B264" s="1" t="n">
        <v>45526</v>
      </c>
      <c r="C264" s="1" t="n">
        <v>46032</v>
      </c>
      <c r="D264" t="inlineStr">
        <is>
          <t>ÖREBRO LÄN</t>
        </is>
      </c>
      <c r="E264" t="inlineStr">
        <is>
          <t>NORA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59637-2021</t>
        </is>
      </c>
      <c r="B265" s="1" t="n">
        <v>44493</v>
      </c>
      <c r="C265" s="1" t="n">
        <v>46032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10882-2024</t>
        </is>
      </c>
      <c r="B266" s="1" t="n">
        <v>45370</v>
      </c>
      <c r="C266" s="1" t="n">
        <v>46032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8295-2024</t>
        </is>
      </c>
      <c r="B267" s="1" t="n">
        <v>45352.43674768518</v>
      </c>
      <c r="C267" s="1" t="n">
        <v>46032</v>
      </c>
      <c r="D267" t="inlineStr">
        <is>
          <t>ÖREBRO LÄN</t>
        </is>
      </c>
      <c r="E267" t="inlineStr">
        <is>
          <t>NORA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24832-2024</t>
        </is>
      </c>
      <c r="B268" s="1" t="n">
        <v>45461.38202546296</v>
      </c>
      <c r="C268" s="1" t="n">
        <v>46032</v>
      </c>
      <c r="D268" t="inlineStr">
        <is>
          <t>ÖREBRO LÄN</t>
        </is>
      </c>
      <c r="E268" t="inlineStr">
        <is>
          <t>NORA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70200-2021</t>
        </is>
      </c>
      <c r="B269" s="1" t="n">
        <v>44534.82171296296</v>
      </c>
      <c r="C269" s="1" t="n">
        <v>46032</v>
      </c>
      <c r="D269" t="inlineStr">
        <is>
          <t>ÖREBRO LÄN</t>
        </is>
      </c>
      <c r="E269" t="inlineStr">
        <is>
          <t>NORA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22389-2023</t>
        </is>
      </c>
      <c r="B270" s="1" t="n">
        <v>45070</v>
      </c>
      <c r="C270" s="1" t="n">
        <v>46032</v>
      </c>
      <c r="D270" t="inlineStr">
        <is>
          <t>ÖREBRO LÄN</t>
        </is>
      </c>
      <c r="E270" t="inlineStr">
        <is>
          <t>NORA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35656-2024</t>
        </is>
      </c>
      <c r="B271" s="1" t="n">
        <v>45532</v>
      </c>
      <c r="C271" s="1" t="n">
        <v>46032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11631-2022</t>
        </is>
      </c>
      <c r="B272" s="1" t="n">
        <v>44631</v>
      </c>
      <c r="C272" s="1" t="n">
        <v>46032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5217-2022</t>
        </is>
      </c>
      <c r="B273" s="1" t="n">
        <v>44593</v>
      </c>
      <c r="C273" s="1" t="n">
        <v>46032</v>
      </c>
      <c r="D273" t="inlineStr">
        <is>
          <t>ÖREBRO LÄN</t>
        </is>
      </c>
      <c r="E273" t="inlineStr">
        <is>
          <t>NORA</t>
        </is>
      </c>
      <c r="F273" t="inlineStr">
        <is>
          <t>Övriga Aktiebolag</t>
        </is>
      </c>
      <c r="G273" t="n">
        <v>38.4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6181-2021</t>
        </is>
      </c>
      <c r="B274" s="1" t="n">
        <v>44232</v>
      </c>
      <c r="C274" s="1" t="n">
        <v>46032</v>
      </c>
      <c r="D274" t="inlineStr">
        <is>
          <t>ÖREBRO LÄN</t>
        </is>
      </c>
      <c r="E274" t="inlineStr">
        <is>
          <t>NORA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37849-2023</t>
        </is>
      </c>
      <c r="B275" s="1" t="n">
        <v>45158</v>
      </c>
      <c r="C275" s="1" t="n">
        <v>46032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24391-2024</t>
        </is>
      </c>
      <c r="B276" s="1" t="n">
        <v>45457.63850694444</v>
      </c>
      <c r="C276" s="1" t="n">
        <v>46032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24392-2024</t>
        </is>
      </c>
      <c r="B277" s="1" t="n">
        <v>45457.64085648148</v>
      </c>
      <c r="C277" s="1" t="n">
        <v>46032</v>
      </c>
      <c r="D277" t="inlineStr">
        <is>
          <t>ÖREBRO LÄN</t>
        </is>
      </c>
      <c r="E277" t="inlineStr">
        <is>
          <t>NORA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41676-2021</t>
        </is>
      </c>
      <c r="B278" s="1" t="n">
        <v>44425.50175925926</v>
      </c>
      <c r="C278" s="1" t="n">
        <v>46032</v>
      </c>
      <c r="D278" t="inlineStr">
        <is>
          <t>ÖREBRO LÄN</t>
        </is>
      </c>
      <c r="E278" t="inlineStr">
        <is>
          <t>NORA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35144-2023</t>
        </is>
      </c>
      <c r="B279" s="1" t="n">
        <v>45145</v>
      </c>
      <c r="C279" s="1" t="n">
        <v>46032</v>
      </c>
      <c r="D279" t="inlineStr">
        <is>
          <t>ÖREBRO LÄN</t>
        </is>
      </c>
      <c r="E279" t="inlineStr">
        <is>
          <t>NORA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348-2025</t>
        </is>
      </c>
      <c r="B280" s="1" t="n">
        <v>45660</v>
      </c>
      <c r="C280" s="1" t="n">
        <v>46032</v>
      </c>
      <c r="D280" t="inlineStr">
        <is>
          <t>ÖREBRO LÄN</t>
        </is>
      </c>
      <c r="E280" t="inlineStr">
        <is>
          <t>NORA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73009-2021</t>
        </is>
      </c>
      <c r="B281" s="1" t="n">
        <v>44550.33282407407</v>
      </c>
      <c r="C281" s="1" t="n">
        <v>46032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38798-2021</t>
        </is>
      </c>
      <c r="B282" s="1" t="n">
        <v>44410</v>
      </c>
      <c r="C282" s="1" t="n">
        <v>46032</v>
      </c>
      <c r="D282" t="inlineStr">
        <is>
          <t>ÖREBRO LÄN</t>
        </is>
      </c>
      <c r="E282" t="inlineStr">
        <is>
          <t>NORA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8936-2025</t>
        </is>
      </c>
      <c r="B283" s="1" t="n">
        <v>45714</v>
      </c>
      <c r="C283" s="1" t="n">
        <v>46032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53365-2023</t>
        </is>
      </c>
      <c r="B284" s="1" t="n">
        <v>45229.66844907407</v>
      </c>
      <c r="C284" s="1" t="n">
        <v>46032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11888-2025</t>
        </is>
      </c>
      <c r="B285" s="1" t="n">
        <v>45728.45688657407</v>
      </c>
      <c r="C285" s="1" t="n">
        <v>46032</v>
      </c>
      <c r="D285" t="inlineStr">
        <is>
          <t>ÖREBRO LÄN</t>
        </is>
      </c>
      <c r="E285" t="inlineStr">
        <is>
          <t>NORA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2026-01-10T10:48:59Z</dcterms:created>
  <dcterms:modified xmlns:dcterms="http://purl.org/dc/terms/" xmlns:xsi="http://www.w3.org/2001/XMLSchema-instance" xsi:type="dcterms:W3CDTF">2026-01-10T10:49:00Z</dcterms:modified>
</cp:coreProperties>
</file>