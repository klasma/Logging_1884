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16286-2026</t>
        </is>
      </c>
      <c r="B4" s="1" t="n">
        <v>46111.50828703704</v>
      </c>
      <c r="C4" s="1" t="n">
        <v>46167</v>
      </c>
      <c r="D4" t="inlineStr">
        <is>
          <t>ÖREBRO LÄN</t>
        </is>
      </c>
      <c r="E4" t="inlineStr">
        <is>
          <t>NORA</t>
        </is>
      </c>
      <c r="G4" t="n">
        <v>4.6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Orange taggsvamp
Spillkråka
Dropptaggsvamp
Mindre märgborre
Rostfläck
Vedticka
Tjäder
Huggorm
Fläcknycklar</t>
        </is>
      </c>
      <c r="S4">
        <f>HYPERLINK("https://klasma.github.io/Logging_1884/artfynd/A 16286-2026 artfynd.xlsx", "A 16286-2026")</f>
        <v/>
      </c>
      <c r="T4">
        <f>HYPERLINK("https://klasma.github.io/Logging_1884/kartor/A 16286-2026 karta.png", "A 16286-2026")</f>
        <v/>
      </c>
      <c r="V4">
        <f>HYPERLINK("https://klasma.github.io/Logging_1884/klagomål/A 16286-2026 FSC-klagomål.docx", "A 16286-2026")</f>
        <v/>
      </c>
      <c r="W4">
        <f>HYPERLINK("https://klasma.github.io/Logging_1884/klagomålsmail/A 16286-2026 FSC-klagomål mail.docx", "A 16286-2026")</f>
        <v/>
      </c>
      <c r="X4">
        <f>HYPERLINK("https://klasma.github.io/Logging_1884/tillsyn/A 16286-2026 tillsynsbegäran.docx", "A 16286-2026")</f>
        <v/>
      </c>
      <c r="Y4">
        <f>HYPERLINK("https://klasma.github.io/Logging_1884/tillsynsmail/A 16286-2026 tillsynsbegäran mail.docx", "A 16286-2026")</f>
        <v/>
      </c>
      <c r="Z4">
        <f>HYPERLINK("https://klasma.github.io/Logging_1884/fåglar/A 16286-2026 prioriterade fågelarter.docx", "A 16286-2026")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46167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46167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63531-2025</t>
        </is>
      </c>
      <c r="B7" s="1" t="n">
        <v>46013.56317129629</v>
      </c>
      <c r="C7" s="1" t="n">
        <v>46167</v>
      </c>
      <c r="D7" t="inlineStr">
        <is>
          <t>ÖREBRO LÄN</t>
        </is>
      </c>
      <c r="E7" t="inlineStr">
        <is>
          <t>NORA</t>
        </is>
      </c>
      <c r="G7" t="n">
        <v>1</v>
      </c>
      <c r="H7" t="n">
        <v>1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Blåsfliksmossa
Grov baronmossa
Olivspindling
Platt fjädermossa
Svavelriska
Tibast
Blåsippa</t>
        </is>
      </c>
      <c r="S7">
        <f>HYPERLINK("https://klasma.github.io/Logging_1884/artfynd/A 63531-2025 artfynd.xlsx", "A 63531-2025")</f>
        <v/>
      </c>
      <c r="T7">
        <f>HYPERLINK("https://klasma.github.io/Logging_1884/kartor/A 63531-2025 karta.png", "A 63531-2025")</f>
        <v/>
      </c>
      <c r="V7">
        <f>HYPERLINK("https://klasma.github.io/Logging_1884/klagomål/A 63531-2025 FSC-klagomål.docx", "A 63531-2025")</f>
        <v/>
      </c>
      <c r="W7">
        <f>HYPERLINK("https://klasma.github.io/Logging_1884/klagomålsmail/A 63531-2025 FSC-klagomål mail.docx", "A 63531-2025")</f>
        <v/>
      </c>
      <c r="X7">
        <f>HYPERLINK("https://klasma.github.io/Logging_1884/tillsyn/A 63531-2025 tillsynsbegäran.docx", "A 63531-2025")</f>
        <v/>
      </c>
      <c r="Y7">
        <f>HYPERLINK("https://klasma.github.io/Logging_1884/tillsynsmail/A 63531-2025 tillsynsbegäran mail.docx", "A 63531-2025")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46167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46167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46167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46167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46167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46167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46167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46167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16288-2026</t>
        </is>
      </c>
      <c r="B17" s="1" t="n">
        <v>46111.51297453704</v>
      </c>
      <c r="C17" s="1" t="n">
        <v>46167</v>
      </c>
      <c r="D17" t="inlineStr">
        <is>
          <t>ÖREBRO LÄN</t>
        </is>
      </c>
      <c r="E17" t="inlineStr">
        <is>
          <t>NORA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HYPERLINK("https://klasma.github.io/Logging_1884/artfynd/A 16288-2026 artfynd.xlsx", "A 16288-2026")</f>
        <v/>
      </c>
      <c r="T17">
        <f>HYPERLINK("https://klasma.github.io/Logging_1884/kartor/A 16288-2026 karta.png", "A 16288-2026")</f>
        <v/>
      </c>
      <c r="V17">
        <f>HYPERLINK("https://klasma.github.io/Logging_1884/klagomål/A 16288-2026 FSC-klagomål.docx", "A 16288-2026")</f>
        <v/>
      </c>
      <c r="W17">
        <f>HYPERLINK("https://klasma.github.io/Logging_1884/klagomålsmail/A 16288-2026 FSC-klagomål mail.docx", "A 16288-2026")</f>
        <v/>
      </c>
      <c r="X17">
        <f>HYPERLINK("https://klasma.github.io/Logging_1884/tillsyn/A 16288-2026 tillsynsbegäran.docx", "A 16288-2026")</f>
        <v/>
      </c>
      <c r="Y17">
        <f>HYPERLINK("https://klasma.github.io/Logging_1884/tillsynsmail/A 16288-2026 tillsynsbegäran mail.docx", "A 16288-2026")</f>
        <v/>
      </c>
      <c r="Z17">
        <f>HYPERLINK("https://klasma.github.io/Logging_1884/fåglar/A 16288-2026 prioriterade fågelarter.docx", "A 16288-2026")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46167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46167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46167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46167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51036-2022</t>
        </is>
      </c>
      <c r="B22" s="1" t="n">
        <v>44868.3161574074</v>
      </c>
      <c r="C22" s="1" t="n">
        <v>46167</v>
      </c>
      <c r="D22" t="inlineStr">
        <is>
          <t>ÖREBRO LÄN</t>
        </is>
      </c>
      <c r="E22" t="inlineStr">
        <is>
          <t>NORA</t>
        </is>
      </c>
      <c r="G22" t="n">
        <v>3.2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Vårärt</t>
        </is>
      </c>
      <c r="S22">
        <f>HYPERLINK("https://klasma.github.io/Logging_1884/artfynd/A 51036-2022 artfynd.xlsx", "A 51036-2022")</f>
        <v/>
      </c>
      <c r="T22">
        <f>HYPERLINK("https://klasma.github.io/Logging_1884/kartor/A 51036-2022 karta.png", "A 51036-2022")</f>
        <v/>
      </c>
      <c r="V22">
        <f>HYPERLINK("https://klasma.github.io/Logging_1884/klagomål/A 51036-2022 FSC-klagomål.docx", "A 51036-2022")</f>
        <v/>
      </c>
      <c r="W22">
        <f>HYPERLINK("https://klasma.github.io/Logging_1884/klagomålsmail/A 51036-2022 FSC-klagomål mail.docx", "A 51036-2022")</f>
        <v/>
      </c>
      <c r="X22">
        <f>HYPERLINK("https://klasma.github.io/Logging_1884/tillsyn/A 51036-2022 tillsynsbegäran.docx", "A 51036-2022")</f>
        <v/>
      </c>
      <c r="Y22">
        <f>HYPERLINK("https://klasma.github.io/Logging_1884/tillsynsmail/A 51036-2022 tillsynsbegäran mail.docx", "A 51036-2022")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46167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46167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46167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46167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46167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46167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46167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46167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46167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42036-2025</t>
        </is>
      </c>
      <c r="B32" s="1" t="n">
        <v>45903.61173611111</v>
      </c>
      <c r="C32" s="1" t="n">
        <v>46167</v>
      </c>
      <c r="D32" t="inlineStr">
        <is>
          <t>ÖREBRO LÄN</t>
        </is>
      </c>
      <c r="E32" t="inlineStr">
        <is>
          <t>NORA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HYPERLINK("https://klasma.github.io/Logging_1884/artfynd/A 42036-2025 artfynd.xlsx", "A 42036-2025")</f>
        <v/>
      </c>
      <c r="T32">
        <f>HYPERLINK("https://klasma.github.io/Logging_1884/kartor/A 42036-2025 karta.png", "A 42036-2025")</f>
        <v/>
      </c>
      <c r="V32">
        <f>HYPERLINK("https://klasma.github.io/Logging_1884/klagomål/A 42036-2025 FSC-klagomål.docx", "A 42036-2025")</f>
        <v/>
      </c>
      <c r="W32">
        <f>HYPERLINK("https://klasma.github.io/Logging_1884/klagomålsmail/A 42036-2025 FSC-klagomål mail.docx", "A 42036-2025")</f>
        <v/>
      </c>
      <c r="X32">
        <f>HYPERLINK("https://klasma.github.io/Logging_1884/tillsyn/A 42036-2025 tillsynsbegäran.docx", "A 42036-2025")</f>
        <v/>
      </c>
      <c r="Y32">
        <f>HYPERLINK("https://klasma.github.io/Logging_1884/tillsynsmail/A 42036-2025 tillsynsbegäran mail.docx", "A 42036-2025")</f>
        <v/>
      </c>
    </row>
    <row r="33" ht="15" customHeight="1">
      <c r="A33" t="inlineStr">
        <is>
          <t>A 43148-2025</t>
        </is>
      </c>
      <c r="B33" s="1" t="n">
        <v>45910.32248842593</v>
      </c>
      <c r="C33" s="1" t="n">
        <v>46167</v>
      </c>
      <c r="D33" t="inlineStr">
        <is>
          <t>ÖREBRO LÄN</t>
        </is>
      </c>
      <c r="E33" t="inlineStr">
        <is>
          <t>NORA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HYPERLINK("https://klasma.github.io/Logging_1884/artfynd/A 43148-2025 artfynd.xlsx", "A 43148-2025")</f>
        <v/>
      </c>
      <c r="T33">
        <f>HYPERLINK("https://klasma.github.io/Logging_1884/kartor/A 43148-2025 karta.png", "A 43148-2025")</f>
        <v/>
      </c>
      <c r="V33">
        <f>HYPERLINK("https://klasma.github.io/Logging_1884/klagomål/A 43148-2025 FSC-klagomål.docx", "A 43148-2025")</f>
        <v/>
      </c>
      <c r="W33">
        <f>HYPERLINK("https://klasma.github.io/Logging_1884/klagomålsmail/A 43148-2025 FSC-klagomål mail.docx", "A 43148-2025")</f>
        <v/>
      </c>
      <c r="X33">
        <f>HYPERLINK("https://klasma.github.io/Logging_1884/tillsyn/A 43148-2025 tillsynsbegäran.docx", "A 43148-2025")</f>
        <v/>
      </c>
      <c r="Y33">
        <f>HYPERLINK("https://klasma.github.io/Logging_1884/tillsynsmail/A 43148-2025 tillsynsbegäran mail.docx", "A 43148-2025")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46167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46167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46167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46167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46167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46167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15327-2024</t>
        </is>
      </c>
      <c r="B40" s="1" t="n">
        <v>45400.68243055556</v>
      </c>
      <c r="C40" s="1" t="n">
        <v>46167</v>
      </c>
      <c r="D40" t="inlineStr">
        <is>
          <t>ÖREBRO LÄN</t>
        </is>
      </c>
      <c r="E40" t="inlineStr">
        <is>
          <t>NORA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HYPERLINK("https://klasma.github.io/Logging_1884/artfynd/A 15327-2024 artfynd.xlsx", "A 15327-2024")</f>
        <v/>
      </c>
      <c r="T40">
        <f>HYPERLINK("https://klasma.github.io/Logging_1884/kartor/A 15327-2024 karta.png", "A 15327-2024")</f>
        <v/>
      </c>
      <c r="V40">
        <f>HYPERLINK("https://klasma.github.io/Logging_1884/klagomål/A 15327-2024 FSC-klagomål.docx", "A 15327-2024")</f>
        <v/>
      </c>
      <c r="W40">
        <f>HYPERLINK("https://klasma.github.io/Logging_1884/klagomålsmail/A 15327-2024 FSC-klagomål mail.docx", "A 15327-2024")</f>
        <v/>
      </c>
      <c r="X40">
        <f>HYPERLINK("https://klasma.github.io/Logging_1884/tillsyn/A 15327-2024 tillsynsbegäran.docx", "A 15327-2024")</f>
        <v/>
      </c>
      <c r="Y40">
        <f>HYPERLINK("https://klasma.github.io/Logging_1884/tillsynsmail/A 15327-2024 tillsynsbegäran mail.docx", "A 15327-2024")</f>
        <v/>
      </c>
    </row>
    <row r="41" ht="15" customHeight="1">
      <c r="A41" t="inlineStr">
        <is>
          <t>A 26658-2025</t>
        </is>
      </c>
      <c r="B41" s="1" t="n">
        <v>45810.39315972223</v>
      </c>
      <c r="C41" s="1" t="n">
        <v>46167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HYPERLINK("https://klasma.github.io/Logging_1884/artfynd/A 26658-2025 artfynd.xlsx", "A 26658-2025")</f>
        <v/>
      </c>
      <c r="T41">
        <f>HYPERLINK("https://klasma.github.io/Logging_1884/kartor/A 26658-2025 karta.png", "A 26658-2025")</f>
        <v/>
      </c>
      <c r="V41">
        <f>HYPERLINK("https://klasma.github.io/Logging_1884/klagomål/A 26658-2025 FSC-klagomål.docx", "A 26658-2025")</f>
        <v/>
      </c>
      <c r="W41">
        <f>HYPERLINK("https://klasma.github.io/Logging_1884/klagomålsmail/A 26658-2025 FSC-klagomål mail.docx", "A 26658-2025")</f>
        <v/>
      </c>
      <c r="X41">
        <f>HYPERLINK("https://klasma.github.io/Logging_1884/tillsyn/A 26658-2025 tillsynsbegäran.docx", "A 26658-2025")</f>
        <v/>
      </c>
      <c r="Y41">
        <f>HYPERLINK("https://klasma.github.io/Logging_1884/tillsynsmail/A 26658-2025 tillsynsbegäran mail.docx", "A 26658-2025")</f>
        <v/>
      </c>
    </row>
    <row r="42" ht="15" customHeight="1">
      <c r="A42" t="inlineStr">
        <is>
          <t>A 26659-2025</t>
        </is>
      </c>
      <c r="B42" s="1" t="n">
        <v>45810.39408564815</v>
      </c>
      <c r="C42" s="1" t="n">
        <v>46167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26659-2025 artfynd.xlsx", "A 26659-2025")</f>
        <v/>
      </c>
      <c r="T42">
        <f>HYPERLINK("https://klasma.github.io/Logging_1884/kartor/A 26659-2025 karta.png", "A 26659-2025")</f>
        <v/>
      </c>
      <c r="V42">
        <f>HYPERLINK("https://klasma.github.io/Logging_1884/klagomål/A 26659-2025 FSC-klagomål.docx", "A 26659-2025")</f>
        <v/>
      </c>
      <c r="W42">
        <f>HYPERLINK("https://klasma.github.io/Logging_1884/klagomålsmail/A 26659-2025 FSC-klagomål mail.docx", "A 26659-2025")</f>
        <v/>
      </c>
      <c r="X42">
        <f>HYPERLINK("https://klasma.github.io/Logging_1884/tillsyn/A 26659-2025 tillsynsbegäran.docx", "A 26659-2025")</f>
        <v/>
      </c>
      <c r="Y42">
        <f>HYPERLINK("https://klasma.github.io/Logging_1884/tillsynsmail/A 26659-2025 tillsynsbegäran mail.docx", "A 26659-2025")</f>
        <v/>
      </c>
    </row>
    <row r="43" ht="15" customHeight="1">
      <c r="A43" t="inlineStr">
        <is>
          <t>A 32498-2025</t>
        </is>
      </c>
      <c r="B43" s="1" t="n">
        <v>45838.4570949074</v>
      </c>
      <c r="C43" s="1" t="n">
        <v>46167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32498-2025 artfynd.xlsx", "A 32498-2025")</f>
        <v/>
      </c>
      <c r="T43">
        <f>HYPERLINK("https://klasma.github.io/Logging_1884/kartor/A 32498-2025 karta.png", "A 32498-2025")</f>
        <v/>
      </c>
      <c r="V43">
        <f>HYPERLINK("https://klasma.github.io/Logging_1884/klagomål/A 32498-2025 FSC-klagomål.docx", "A 32498-2025")</f>
        <v/>
      </c>
      <c r="W43">
        <f>HYPERLINK("https://klasma.github.io/Logging_1884/klagomålsmail/A 32498-2025 FSC-klagomål mail.docx", "A 32498-2025")</f>
        <v/>
      </c>
      <c r="X43">
        <f>HYPERLINK("https://klasma.github.io/Logging_1884/tillsyn/A 32498-2025 tillsynsbegäran.docx", "A 32498-2025")</f>
        <v/>
      </c>
      <c r="Y43">
        <f>HYPERLINK("https://klasma.github.io/Logging_1884/tillsynsmail/A 32498-2025 tillsynsbegäran mail.docx", "A 32498-2025")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46167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46167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46167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46167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46167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46167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46167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46167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46167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46167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46167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46167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46167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46167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46167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46167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46167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46167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46167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46167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46167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46167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46167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46167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46167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46167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46167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46167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46167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20565-2025</t>
        </is>
      </c>
      <c r="B86" s="1" t="n">
        <v>45775.66307870371</v>
      </c>
      <c r="C86" s="1" t="n">
        <v>46167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62592-2021</t>
        </is>
      </c>
      <c r="B87" s="1" t="n">
        <v>44503</v>
      </c>
      <c r="C87" s="1" t="n">
        <v>46167</v>
      </c>
      <c r="D87" t="inlineStr">
        <is>
          <t>ÖREBRO LÄN</t>
        </is>
      </c>
      <c r="E87" t="inlineStr">
        <is>
          <t>NORA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46167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46167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34164-2022</t>
        </is>
      </c>
      <c r="B90" s="1" t="n">
        <v>44791.58640046296</v>
      </c>
      <c r="C90" s="1" t="n">
        <v>46167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45216-2023</t>
        </is>
      </c>
      <c r="B91" s="1" t="n">
        <v>45191</v>
      </c>
      <c r="C91" s="1" t="n">
        <v>46167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26023-2023</t>
        </is>
      </c>
      <c r="B92" s="1" t="n">
        <v>45091.2925</v>
      </c>
      <c r="C92" s="1" t="n">
        <v>46167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46167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46167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16085-2024</t>
        </is>
      </c>
      <c r="B95" s="1" t="n">
        <v>45406.37230324074</v>
      </c>
      <c r="C95" s="1" t="n">
        <v>46167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13563-2024</t>
        </is>
      </c>
      <c r="B96" s="1" t="n">
        <v>45388.99935185185</v>
      </c>
      <c r="C96" s="1" t="n">
        <v>46167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24389-2024</t>
        </is>
      </c>
      <c r="B97" s="1" t="n">
        <v>45457.63585648148</v>
      </c>
      <c r="C97" s="1" t="n">
        <v>46167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46167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55766-2024</t>
        </is>
      </c>
      <c r="B99" s="1" t="n">
        <v>45623.37702546296</v>
      </c>
      <c r="C99" s="1" t="n">
        <v>46167</v>
      </c>
      <c r="D99" t="inlineStr">
        <is>
          <t>ÖREBRO LÄN</t>
        </is>
      </c>
      <c r="E99" t="inlineStr">
        <is>
          <t>NORA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46167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46167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46167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38179-2023</t>
        </is>
      </c>
      <c r="B103" s="1" t="n">
        <v>45161.45337962963</v>
      </c>
      <c r="C103" s="1" t="n">
        <v>46167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43535-2023</t>
        </is>
      </c>
      <c r="B104" s="1" t="n">
        <v>45184</v>
      </c>
      <c r="C104" s="1" t="n">
        <v>46167</v>
      </c>
      <c r="D104" t="inlineStr">
        <is>
          <t>ÖREBRO LÄN</t>
        </is>
      </c>
      <c r="E104" t="inlineStr">
        <is>
          <t>NORA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46167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46167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35608-2021</t>
        </is>
      </c>
      <c r="B107" s="1" t="n">
        <v>44386.38070601852</v>
      </c>
      <c r="C107" s="1" t="n">
        <v>46167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46167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46167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41669-2021</t>
        </is>
      </c>
      <c r="B110" s="1" t="n">
        <v>44425</v>
      </c>
      <c r="C110" s="1" t="n">
        <v>46167</v>
      </c>
      <c r="D110" t="inlineStr">
        <is>
          <t>ÖREBRO LÄN</t>
        </is>
      </c>
      <c r="E110" t="inlineStr">
        <is>
          <t>NORA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24820-2024</t>
        </is>
      </c>
      <c r="B111" s="1" t="n">
        <v>45461.3465625</v>
      </c>
      <c r="C111" s="1" t="n">
        <v>46167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24821-2024</t>
        </is>
      </c>
      <c r="B112" s="1" t="n">
        <v>45461.34765046297</v>
      </c>
      <c r="C112" s="1" t="n">
        <v>46167</v>
      </c>
      <c r="D112" t="inlineStr">
        <is>
          <t>ÖREBRO LÄN</t>
        </is>
      </c>
      <c r="E112" t="inlineStr">
        <is>
          <t>NORA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24833-2024</t>
        </is>
      </c>
      <c r="B113" s="1" t="n">
        <v>45461.39246527778</v>
      </c>
      <c r="C113" s="1" t="n">
        <v>46167</v>
      </c>
      <c r="D113" t="inlineStr">
        <is>
          <t>ÖREBRO LÄN</t>
        </is>
      </c>
      <c r="E113" t="inlineStr">
        <is>
          <t>NORA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46167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12183-2025</t>
        </is>
      </c>
      <c r="B115" s="1" t="n">
        <v>45729.46353009259</v>
      </c>
      <c r="C115" s="1" t="n">
        <v>46167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46167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56871-2021</t>
        </is>
      </c>
      <c r="B117" s="1" t="n">
        <v>44481.78949074074</v>
      </c>
      <c r="C117" s="1" t="n">
        <v>46167</v>
      </c>
      <c r="D117" t="inlineStr">
        <is>
          <t>ÖREBRO LÄN</t>
        </is>
      </c>
      <c r="E117" t="inlineStr">
        <is>
          <t>NORA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41696-2023</t>
        </is>
      </c>
      <c r="B118" s="1" t="n">
        <v>45176</v>
      </c>
      <c r="C118" s="1" t="n">
        <v>46167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57316-2022</t>
        </is>
      </c>
      <c r="B119" s="1" t="n">
        <v>44896.32079861111</v>
      </c>
      <c r="C119" s="1" t="n">
        <v>46167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16109-2024</t>
        </is>
      </c>
      <c r="B120" s="1" t="n">
        <v>45406.46753472222</v>
      </c>
      <c r="C120" s="1" t="n">
        <v>46167</v>
      </c>
      <c r="D120" t="inlineStr">
        <is>
          <t>ÖREBRO LÄN</t>
        </is>
      </c>
      <c r="E120" t="inlineStr">
        <is>
          <t>NORA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46167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46167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64090-2023</t>
        </is>
      </c>
      <c r="B123" s="1" t="n">
        <v>45279.43923611111</v>
      </c>
      <c r="C123" s="1" t="n">
        <v>46167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34835-2025</t>
        </is>
      </c>
      <c r="B124" s="1" t="n">
        <v>45849.38855324074</v>
      </c>
      <c r="C124" s="1" t="n">
        <v>46167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34824-2025</t>
        </is>
      </c>
      <c r="B125" s="1" t="n">
        <v>45849.38061342593</v>
      </c>
      <c r="C125" s="1" t="n">
        <v>46167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34827-2025</t>
        </is>
      </c>
      <c r="B126" s="1" t="n">
        <v>45849.38547453703</v>
      </c>
      <c r="C126" s="1" t="n">
        <v>46167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34825-2025</t>
        </is>
      </c>
      <c r="B127" s="1" t="n">
        <v>45849.38262731482</v>
      </c>
      <c r="C127" s="1" t="n">
        <v>46167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14477-2025</t>
        </is>
      </c>
      <c r="B128" s="1" t="n">
        <v>45741.58723379629</v>
      </c>
      <c r="C128" s="1" t="n">
        <v>46167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14482-2025</t>
        </is>
      </c>
      <c r="B129" s="1" t="n">
        <v>45741.59662037037</v>
      </c>
      <c r="C129" s="1" t="n">
        <v>46167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22266-2026</t>
        </is>
      </c>
      <c r="B130" s="1" t="n">
        <v>46154.38645833333</v>
      </c>
      <c r="C130" s="1" t="n">
        <v>46167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56904-2024</t>
        </is>
      </c>
      <c r="B131" s="1" t="n">
        <v>45628.58696759259</v>
      </c>
      <c r="C131" s="1" t="n">
        <v>46167</v>
      </c>
      <c r="D131" t="inlineStr">
        <is>
          <t>ÖREBRO LÄN</t>
        </is>
      </c>
      <c r="E131" t="inlineStr">
        <is>
          <t>NORA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26916-2022</t>
        </is>
      </c>
      <c r="B132" s="1" t="n">
        <v>44740</v>
      </c>
      <c r="C132" s="1" t="n">
        <v>46167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5049-2022</t>
        </is>
      </c>
      <c r="B133" s="1" t="n">
        <v>44593</v>
      </c>
      <c r="C133" s="1" t="n">
        <v>46167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59056-2024</t>
        </is>
      </c>
      <c r="B134" s="1" t="n">
        <v>45636</v>
      </c>
      <c r="C134" s="1" t="n">
        <v>46167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26320-2022</t>
        </is>
      </c>
      <c r="B135" s="1" t="n">
        <v>44735.60184027778</v>
      </c>
      <c r="C135" s="1" t="n">
        <v>46167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16813-2026</t>
        </is>
      </c>
      <c r="B136" s="1" t="n">
        <v>46113.49621527778</v>
      </c>
      <c r="C136" s="1" t="n">
        <v>46167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16815-2026</t>
        </is>
      </c>
      <c r="B137" s="1" t="n">
        <v>46113.49802083334</v>
      </c>
      <c r="C137" s="1" t="n">
        <v>46167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16816-2026</t>
        </is>
      </c>
      <c r="B138" s="1" t="n">
        <v>46113.49991898148</v>
      </c>
      <c r="C138" s="1" t="n">
        <v>46167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25723-2023</t>
        </is>
      </c>
      <c r="B139" s="1" t="n">
        <v>45090.3674537037</v>
      </c>
      <c r="C139" s="1" t="n">
        <v>46167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22474-2026</t>
        </is>
      </c>
      <c r="B140" s="1" t="n">
        <v>46155.39695601852</v>
      </c>
      <c r="C140" s="1" t="n">
        <v>46167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22478-2026</t>
        </is>
      </c>
      <c r="B141" s="1" t="n">
        <v>46155.401875</v>
      </c>
      <c r="C141" s="1" t="n">
        <v>46167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22480-2026</t>
        </is>
      </c>
      <c r="B142" s="1" t="n">
        <v>46155.40488425926</v>
      </c>
      <c r="C142" s="1" t="n">
        <v>46167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22485-2026</t>
        </is>
      </c>
      <c r="B143" s="1" t="n">
        <v>46155.40791666666</v>
      </c>
      <c r="C143" s="1" t="n">
        <v>46167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16810-2026</t>
        </is>
      </c>
      <c r="B144" s="1" t="n">
        <v>46113.49311342592</v>
      </c>
      <c r="C144" s="1" t="n">
        <v>46167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22476-2026</t>
        </is>
      </c>
      <c r="B145" s="1" t="n">
        <v>46155.39934027778</v>
      </c>
      <c r="C145" s="1" t="n">
        <v>46167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39837-2025</t>
        </is>
      </c>
      <c r="B146" s="1" t="n">
        <v>45891.56561342593</v>
      </c>
      <c r="C146" s="1" t="n">
        <v>46167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22481-2026</t>
        </is>
      </c>
      <c r="B147" s="1" t="n">
        <v>46155.40670138889</v>
      </c>
      <c r="C147" s="1" t="n">
        <v>46167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16808-2026</t>
        </is>
      </c>
      <c r="B148" s="1" t="n">
        <v>46113.49188657408</v>
      </c>
      <c r="C148" s="1" t="n">
        <v>46167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16814-2026</t>
        </is>
      </c>
      <c r="B149" s="1" t="n">
        <v>46113.49700231481</v>
      </c>
      <c r="C149" s="1" t="n">
        <v>46167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36089-2025</t>
        </is>
      </c>
      <c r="B150" s="1" t="n">
        <v>45866</v>
      </c>
      <c r="C150" s="1" t="n">
        <v>46167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16811-2026</t>
        </is>
      </c>
      <c r="B151" s="1" t="n">
        <v>46113.49465277778</v>
      </c>
      <c r="C151" s="1" t="n">
        <v>46167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46167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40082-2025</t>
        </is>
      </c>
      <c r="B153" s="1" t="n">
        <v>45894.46731481481</v>
      </c>
      <c r="C153" s="1" t="n">
        <v>46167</v>
      </c>
      <c r="D153" t="inlineStr">
        <is>
          <t>ÖREBRO LÄN</t>
        </is>
      </c>
      <c r="E153" t="inlineStr">
        <is>
          <t>NORA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4723-2023</t>
        </is>
      </c>
      <c r="B154" s="1" t="n">
        <v>44957.51490740741</v>
      </c>
      <c r="C154" s="1" t="n">
        <v>46167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49498-2024</t>
        </is>
      </c>
      <c r="B155" s="1" t="n">
        <v>45596.3672337963</v>
      </c>
      <c r="C155" s="1" t="n">
        <v>46167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41588-2025</t>
        </is>
      </c>
      <c r="B156" s="1" t="n">
        <v>45901.63114583334</v>
      </c>
      <c r="C156" s="1" t="n">
        <v>46167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42056-2025</t>
        </is>
      </c>
      <c r="B157" s="1" t="n">
        <v>45903.64190972222</v>
      </c>
      <c r="C157" s="1" t="n">
        <v>46167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42050-2025</t>
        </is>
      </c>
      <c r="B158" s="1" t="n">
        <v>45903.63047453704</v>
      </c>
      <c r="C158" s="1" t="n">
        <v>46167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41939-2025</t>
        </is>
      </c>
      <c r="B159" s="1" t="n">
        <v>45903.44396990741</v>
      </c>
      <c r="C159" s="1" t="n">
        <v>46167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42049-2025</t>
        </is>
      </c>
      <c r="B160" s="1" t="n">
        <v>45903.63034722222</v>
      </c>
      <c r="C160" s="1" t="n">
        <v>46167</v>
      </c>
      <c r="D160" t="inlineStr">
        <is>
          <t>ÖREBRO LÄN</t>
        </is>
      </c>
      <c r="E160" t="inlineStr">
        <is>
          <t>NORA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46167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53129-2023</t>
        </is>
      </c>
      <c r="B162" s="1" t="n">
        <v>45229</v>
      </c>
      <c r="C162" s="1" t="n">
        <v>46167</v>
      </c>
      <c r="D162" t="inlineStr">
        <is>
          <t>ÖREBRO LÄN</t>
        </is>
      </c>
      <c r="E162" t="inlineStr">
        <is>
          <t>NORA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46167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12646-2024</t>
        </is>
      </c>
      <c r="B164" s="1" t="n">
        <v>45384.34563657407</v>
      </c>
      <c r="C164" s="1" t="n">
        <v>46167</v>
      </c>
      <c r="D164" t="inlineStr">
        <is>
          <t>ÖREBRO LÄN</t>
        </is>
      </c>
      <c r="E164" t="inlineStr">
        <is>
          <t>NORA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43206-2025</t>
        </is>
      </c>
      <c r="B165" s="1" t="n">
        <v>45910.44984953704</v>
      </c>
      <c r="C165" s="1" t="n">
        <v>46167</v>
      </c>
      <c r="D165" t="inlineStr">
        <is>
          <t>ÖREBRO LÄN</t>
        </is>
      </c>
      <c r="E165" t="inlineStr">
        <is>
          <t>NORA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46167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24822-2024</t>
        </is>
      </c>
      <c r="B167" s="1" t="n">
        <v>45461.34818287037</v>
      </c>
      <c r="C167" s="1" t="n">
        <v>46167</v>
      </c>
      <c r="D167" t="inlineStr">
        <is>
          <t>ÖREBRO LÄN</t>
        </is>
      </c>
      <c r="E167" t="inlineStr">
        <is>
          <t>NORA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49632-2022</t>
        </is>
      </c>
      <c r="B168" s="1" t="n">
        <v>44862.43023148148</v>
      </c>
      <c r="C168" s="1" t="n">
        <v>46167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5674-2023</t>
        </is>
      </c>
      <c r="B169" s="1" t="n">
        <v>44960.66104166667</v>
      </c>
      <c r="C169" s="1" t="n">
        <v>46167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46544-2021</t>
        </is>
      </c>
      <c r="B170" s="1" t="n">
        <v>44445</v>
      </c>
      <c r="C170" s="1" t="n">
        <v>46167</v>
      </c>
      <c r="D170" t="inlineStr">
        <is>
          <t>ÖREBRO LÄN</t>
        </is>
      </c>
      <c r="E170" t="inlineStr">
        <is>
          <t>NORA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47030-2025</t>
        </is>
      </c>
      <c r="B171" s="1" t="n">
        <v>45929.58944444444</v>
      </c>
      <c r="C171" s="1" t="n">
        <v>46167</v>
      </c>
      <c r="D171" t="inlineStr">
        <is>
          <t>ÖREBRO LÄN</t>
        </is>
      </c>
      <c r="E171" t="inlineStr">
        <is>
          <t>NORA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45159-2023</t>
        </is>
      </c>
      <c r="B172" s="1" t="n">
        <v>45191.49001157407</v>
      </c>
      <c r="C172" s="1" t="n">
        <v>46167</v>
      </c>
      <c r="D172" t="inlineStr">
        <is>
          <t>ÖREBRO LÄN</t>
        </is>
      </c>
      <c r="E172" t="inlineStr">
        <is>
          <t>NORA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48229-2025</t>
        </is>
      </c>
      <c r="B173" s="1" t="n">
        <v>45933.51694444445</v>
      </c>
      <c r="C173" s="1" t="n">
        <v>46167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58829-2023</t>
        </is>
      </c>
      <c r="B174" s="1" t="n">
        <v>45252</v>
      </c>
      <c r="C174" s="1" t="n">
        <v>46167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3309-2024</t>
        </is>
      </c>
      <c r="B175" s="1" t="n">
        <v>45317</v>
      </c>
      <c r="C175" s="1" t="n">
        <v>46167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46198-2023</t>
        </is>
      </c>
      <c r="B176" s="1" t="n">
        <v>45196</v>
      </c>
      <c r="C176" s="1" t="n">
        <v>46167</v>
      </c>
      <c r="D176" t="inlineStr">
        <is>
          <t>ÖREBRO LÄN</t>
        </is>
      </c>
      <c r="E176" t="inlineStr">
        <is>
          <t>NORA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36064-2023</t>
        </is>
      </c>
      <c r="B177" s="1" t="n">
        <v>45149</v>
      </c>
      <c r="C177" s="1" t="n">
        <v>46167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11864-2025</t>
        </is>
      </c>
      <c r="B178" s="1" t="n">
        <v>45728.41668981482</v>
      </c>
      <c r="C178" s="1" t="n">
        <v>46167</v>
      </c>
      <c r="D178" t="inlineStr">
        <is>
          <t>ÖREBRO LÄN</t>
        </is>
      </c>
      <c r="E178" t="inlineStr">
        <is>
          <t>NORA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48775-2025</t>
        </is>
      </c>
      <c r="B179" s="1" t="n">
        <v>45937.00422453704</v>
      </c>
      <c r="C179" s="1" t="n">
        <v>46167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43254-2022</t>
        </is>
      </c>
      <c r="B180" s="1" t="n">
        <v>44834</v>
      </c>
      <c r="C180" s="1" t="n">
        <v>46167</v>
      </c>
      <c r="D180" t="inlineStr">
        <is>
          <t>ÖREBRO LÄN</t>
        </is>
      </c>
      <c r="E180" t="inlineStr">
        <is>
          <t>NORA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16529-2024</t>
        </is>
      </c>
      <c r="B181" s="1" t="n">
        <v>45408.42216435185</v>
      </c>
      <c r="C181" s="1" t="n">
        <v>46167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29669-2025</t>
        </is>
      </c>
      <c r="B182" s="1" t="n">
        <v>45825</v>
      </c>
      <c r="C182" s="1" t="n">
        <v>46167</v>
      </c>
      <c r="D182" t="inlineStr">
        <is>
          <t>ÖREBRO LÄN</t>
        </is>
      </c>
      <c r="E182" t="inlineStr">
        <is>
          <t>NORA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49671-2025</t>
        </is>
      </c>
      <c r="B183" s="1" t="n">
        <v>45939</v>
      </c>
      <c r="C183" s="1" t="n">
        <v>46167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49676-2025</t>
        </is>
      </c>
      <c r="B184" s="1" t="n">
        <v>45939</v>
      </c>
      <c r="C184" s="1" t="n">
        <v>46167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51002-2025</t>
        </is>
      </c>
      <c r="B185" s="1" t="n">
        <v>45947.36173611111</v>
      </c>
      <c r="C185" s="1" t="n">
        <v>46167</v>
      </c>
      <c r="D185" t="inlineStr">
        <is>
          <t>ÖREBRO LÄN</t>
        </is>
      </c>
      <c r="E185" t="inlineStr">
        <is>
          <t>NORA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49675-2025</t>
        </is>
      </c>
      <c r="B186" s="1" t="n">
        <v>45939</v>
      </c>
      <c r="C186" s="1" t="n">
        <v>46167</v>
      </c>
      <c r="D186" t="inlineStr">
        <is>
          <t>ÖREBRO LÄN</t>
        </is>
      </c>
      <c r="E186" t="inlineStr">
        <is>
          <t>NORA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51245-2025</t>
        </is>
      </c>
      <c r="B187" s="1" t="n">
        <v>45947.80872685185</v>
      </c>
      <c r="C187" s="1" t="n">
        <v>46167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51246-2025</t>
        </is>
      </c>
      <c r="B188" s="1" t="n">
        <v>45947.81226851852</v>
      </c>
      <c r="C188" s="1" t="n">
        <v>46167</v>
      </c>
      <c r="D188" t="inlineStr">
        <is>
          <t>ÖREBRO LÄN</t>
        </is>
      </c>
      <c r="E188" t="inlineStr">
        <is>
          <t>NORA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52380-2025</t>
        </is>
      </c>
      <c r="B189" s="1" t="n">
        <v>45953.94951388889</v>
      </c>
      <c r="C189" s="1" t="n">
        <v>46167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12907-2025</t>
        </is>
      </c>
      <c r="B190" s="1" t="n">
        <v>45733.8203587963</v>
      </c>
      <c r="C190" s="1" t="n">
        <v>46167</v>
      </c>
      <c r="D190" t="inlineStr">
        <is>
          <t>ÖREBRO LÄN</t>
        </is>
      </c>
      <c r="E190" t="inlineStr">
        <is>
          <t>NORA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64089-2023</t>
        </is>
      </c>
      <c r="B191" s="1" t="n">
        <v>45279</v>
      </c>
      <c r="C191" s="1" t="n">
        <v>46167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45229-2023</t>
        </is>
      </c>
      <c r="B192" s="1" t="n">
        <v>45191</v>
      </c>
      <c r="C192" s="1" t="n">
        <v>46167</v>
      </c>
      <c r="D192" t="inlineStr">
        <is>
          <t>ÖREBRO LÄN</t>
        </is>
      </c>
      <c r="E192" t="inlineStr">
        <is>
          <t>NORA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10079-2024</t>
        </is>
      </c>
      <c r="B193" s="1" t="n">
        <v>45364.42604166667</v>
      </c>
      <c r="C193" s="1" t="n">
        <v>46167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46167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46167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16957-2025</t>
        </is>
      </c>
      <c r="B196" s="1" t="n">
        <v>45755.44732638889</v>
      </c>
      <c r="C196" s="1" t="n">
        <v>46167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46167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54595-2025</t>
        </is>
      </c>
      <c r="B198" s="1" t="n">
        <v>45965.7556712963</v>
      </c>
      <c r="C198" s="1" t="n">
        <v>46167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55035-2025</t>
        </is>
      </c>
      <c r="B199" s="1" t="n">
        <v>45967.64612268518</v>
      </c>
      <c r="C199" s="1" t="n">
        <v>46167</v>
      </c>
      <c r="D199" t="inlineStr">
        <is>
          <t>ÖREBRO LÄN</t>
        </is>
      </c>
      <c r="E199" t="inlineStr">
        <is>
          <t>NORA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46167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29112-2023</t>
        </is>
      </c>
      <c r="B201" s="1" t="n">
        <v>45105.39409722222</v>
      </c>
      <c r="C201" s="1" t="n">
        <v>46167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46167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56565-2025</t>
        </is>
      </c>
      <c r="B203" s="1" t="n">
        <v>45974</v>
      </c>
      <c r="C203" s="1" t="n">
        <v>46167</v>
      </c>
      <c r="D203" t="inlineStr">
        <is>
          <t>ÖREBRO LÄN</t>
        </is>
      </c>
      <c r="E203" t="inlineStr">
        <is>
          <t>NORA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34206-2022</t>
        </is>
      </c>
      <c r="B204" s="1" t="n">
        <v>44791.65267361111</v>
      </c>
      <c r="C204" s="1" t="n">
        <v>46167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46167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46167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14315-2025</t>
        </is>
      </c>
      <c r="B207" s="1" t="n">
        <v>45740.72116898148</v>
      </c>
      <c r="C207" s="1" t="n">
        <v>46167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16540-2024</t>
        </is>
      </c>
      <c r="B208" s="1" t="n">
        <v>45408.4334837963</v>
      </c>
      <c r="C208" s="1" t="n">
        <v>46167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58521-2025</t>
        </is>
      </c>
      <c r="B209" s="1" t="n">
        <v>45985</v>
      </c>
      <c r="C209" s="1" t="n">
        <v>46167</v>
      </c>
      <c r="D209" t="inlineStr">
        <is>
          <t>ÖREBRO LÄN</t>
        </is>
      </c>
      <c r="E209" t="inlineStr">
        <is>
          <t>NORA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40710-2021</t>
        </is>
      </c>
      <c r="B210" s="1" t="n">
        <v>44420</v>
      </c>
      <c r="C210" s="1" t="n">
        <v>46167</v>
      </c>
      <c r="D210" t="inlineStr">
        <is>
          <t>ÖREBRO LÄN</t>
        </is>
      </c>
      <c r="E210" t="inlineStr">
        <is>
          <t>NORA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2413-2024</t>
        </is>
      </c>
      <c r="B211" s="1" t="n">
        <v>45310</v>
      </c>
      <c r="C211" s="1" t="n">
        <v>46167</v>
      </c>
      <c r="D211" t="inlineStr">
        <is>
          <t>ÖREBRO LÄN</t>
        </is>
      </c>
      <c r="E211" t="inlineStr">
        <is>
          <t>NORA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45645-2022</t>
        </is>
      </c>
      <c r="B212" s="1" t="n">
        <v>44845.65557870371</v>
      </c>
      <c r="C212" s="1" t="n">
        <v>46167</v>
      </c>
      <c r="D212" t="inlineStr">
        <is>
          <t>ÖREBRO LÄN</t>
        </is>
      </c>
      <c r="E212" t="inlineStr">
        <is>
          <t>NORA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40497-2024</t>
        </is>
      </c>
      <c r="B213" s="1" t="n">
        <v>45555.57101851852</v>
      </c>
      <c r="C213" s="1" t="n">
        <v>46167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34722-2024</t>
        </is>
      </c>
      <c r="B214" s="1" t="n">
        <v>45526</v>
      </c>
      <c r="C214" s="1" t="n">
        <v>46167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60152-2025</t>
        </is>
      </c>
      <c r="B215" s="1" t="n">
        <v>45994</v>
      </c>
      <c r="C215" s="1" t="n">
        <v>46167</v>
      </c>
      <c r="D215" t="inlineStr">
        <is>
          <t>ÖREBRO LÄN</t>
        </is>
      </c>
      <c r="E215" t="inlineStr">
        <is>
          <t>NORA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60169-2025</t>
        </is>
      </c>
      <c r="B216" s="1" t="n">
        <v>45994</v>
      </c>
      <c r="C216" s="1" t="n">
        <v>46167</v>
      </c>
      <c r="D216" t="inlineStr">
        <is>
          <t>ÖREBRO LÄN</t>
        </is>
      </c>
      <c r="E216" t="inlineStr">
        <is>
          <t>NORA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60166-2025</t>
        </is>
      </c>
      <c r="B217" s="1" t="n">
        <v>45994</v>
      </c>
      <c r="C217" s="1" t="n">
        <v>46167</v>
      </c>
      <c r="D217" t="inlineStr">
        <is>
          <t>ÖREBRO LÄN</t>
        </is>
      </c>
      <c r="E217" t="inlineStr">
        <is>
          <t>NORA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60548-2025</t>
        </is>
      </c>
      <c r="B218" s="1" t="n">
        <v>45995.71252314815</v>
      </c>
      <c r="C218" s="1" t="n">
        <v>46167</v>
      </c>
      <c r="D218" t="inlineStr">
        <is>
          <t>ÖREBRO LÄN</t>
        </is>
      </c>
      <c r="E218" t="inlineStr">
        <is>
          <t>NORA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27767-2023</t>
        </is>
      </c>
      <c r="B219" s="1" t="n">
        <v>45098.41659722223</v>
      </c>
      <c r="C219" s="1" t="n">
        <v>46167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60892-2025</t>
        </is>
      </c>
      <c r="B220" s="1" t="n">
        <v>45999.57278935185</v>
      </c>
      <c r="C220" s="1" t="n">
        <v>46167</v>
      </c>
      <c r="D220" t="inlineStr">
        <is>
          <t>ÖREBRO LÄN</t>
        </is>
      </c>
      <c r="E220" t="inlineStr">
        <is>
          <t>NORA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60873-2025</t>
        </is>
      </c>
      <c r="B221" s="1" t="n">
        <v>45999.55505787037</v>
      </c>
      <c r="C221" s="1" t="n">
        <v>46167</v>
      </c>
      <c r="D221" t="inlineStr">
        <is>
          <t>ÖREBRO LÄN</t>
        </is>
      </c>
      <c r="E221" t="inlineStr">
        <is>
          <t>NORA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60843-2025</t>
        </is>
      </c>
      <c r="B222" s="1" t="n">
        <v>45999.48747685185</v>
      </c>
      <c r="C222" s="1" t="n">
        <v>46167</v>
      </c>
      <c r="D222" t="inlineStr">
        <is>
          <t>ÖREBRO LÄN</t>
        </is>
      </c>
      <c r="E222" t="inlineStr">
        <is>
          <t>NORA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13585-2024</t>
        </is>
      </c>
      <c r="B223" s="1" t="n">
        <v>45389.85309027778</v>
      </c>
      <c r="C223" s="1" t="n">
        <v>46167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4977-2023</t>
        </is>
      </c>
      <c r="B224" s="1" t="n">
        <v>44958.46266203704</v>
      </c>
      <c r="C224" s="1" t="n">
        <v>46167</v>
      </c>
      <c r="D224" t="inlineStr">
        <is>
          <t>ÖREBRO LÄN</t>
        </is>
      </c>
      <c r="E224" t="inlineStr">
        <is>
          <t>NORA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63825-2023</t>
        </is>
      </c>
      <c r="B225" s="1" t="n">
        <v>45278</v>
      </c>
      <c r="C225" s="1" t="n">
        <v>46167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24818-2024</t>
        </is>
      </c>
      <c r="B226" s="1" t="n">
        <v>45461.33123842593</v>
      </c>
      <c r="C226" s="1" t="n">
        <v>46167</v>
      </c>
      <c r="D226" t="inlineStr">
        <is>
          <t>ÖREBRO LÄN</t>
        </is>
      </c>
      <c r="E226" t="inlineStr">
        <is>
          <t>NORA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1521-2025</t>
        </is>
      </c>
      <c r="B227" s="1" t="n">
        <v>45670</v>
      </c>
      <c r="C227" s="1" t="n">
        <v>46167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46167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46167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46167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46167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46167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1766-2026</t>
        </is>
      </c>
      <c r="B233" s="1" t="n">
        <v>46034.6880787037</v>
      </c>
      <c r="C233" s="1" t="n">
        <v>46167</v>
      </c>
      <c r="D233" t="inlineStr">
        <is>
          <t>ÖREBRO LÄN</t>
        </is>
      </c>
      <c r="E233" t="inlineStr">
        <is>
          <t>NORA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46167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2261-2026</t>
        </is>
      </c>
      <c r="B235" s="1" t="n">
        <v>46036</v>
      </c>
      <c r="C235" s="1" t="n">
        <v>46167</v>
      </c>
      <c r="D235" t="inlineStr">
        <is>
          <t>ÖREBRO LÄN</t>
        </is>
      </c>
      <c r="E235" t="inlineStr">
        <is>
          <t>NORA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3686-2026</t>
        </is>
      </c>
      <c r="B236" s="1" t="n">
        <v>46043.44011574074</v>
      </c>
      <c r="C236" s="1" t="n">
        <v>46167</v>
      </c>
      <c r="D236" t="inlineStr">
        <is>
          <t>ÖREBRO LÄN</t>
        </is>
      </c>
      <c r="E236" t="inlineStr">
        <is>
          <t>NORA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46167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46167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7579-2024</t>
        </is>
      </c>
      <c r="B239" s="1" t="n">
        <v>45348</v>
      </c>
      <c r="C239" s="1" t="n">
        <v>46167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27577-2024</t>
        </is>
      </c>
      <c r="B240" s="1" t="n">
        <v>45474.65008101852</v>
      </c>
      <c r="C240" s="1" t="n">
        <v>46167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26022-2023</t>
        </is>
      </c>
      <c r="B241" s="1" t="n">
        <v>45091.29174768519</v>
      </c>
      <c r="C241" s="1" t="n">
        <v>46167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15012-2023</t>
        </is>
      </c>
      <c r="B242" s="1" t="n">
        <v>45015</v>
      </c>
      <c r="C242" s="1" t="n">
        <v>46167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45234-2023</t>
        </is>
      </c>
      <c r="B243" s="1" t="n">
        <v>45191.59268518518</v>
      </c>
      <c r="C243" s="1" t="n">
        <v>46167</v>
      </c>
      <c r="D243" t="inlineStr">
        <is>
          <t>ÖREBRO LÄN</t>
        </is>
      </c>
      <c r="E243" t="inlineStr">
        <is>
          <t>NORA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46167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46167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40339-2024</t>
        </is>
      </c>
      <c r="B246" s="1" t="n">
        <v>45555.33125</v>
      </c>
      <c r="C246" s="1" t="n">
        <v>46167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46167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64026-2025</t>
        </is>
      </c>
      <c r="B248" s="1" t="n">
        <v>46021.47569444445</v>
      </c>
      <c r="C248" s="1" t="n">
        <v>46167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46167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31957-2024</t>
        </is>
      </c>
      <c r="B250" s="1" t="n">
        <v>45510.49798611111</v>
      </c>
      <c r="C250" s="1" t="n">
        <v>46167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12573-2026</t>
        </is>
      </c>
      <c r="B251" s="1" t="n">
        <v>46090.66447916667</v>
      </c>
      <c r="C251" s="1" t="n">
        <v>46167</v>
      </c>
      <c r="D251" t="inlineStr">
        <is>
          <t>ÖREBRO LÄN</t>
        </is>
      </c>
      <c r="E251" t="inlineStr">
        <is>
          <t>NORA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46167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46167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19553-2026</t>
        </is>
      </c>
      <c r="B254" s="1" t="n">
        <v>46134.40564814815</v>
      </c>
      <c r="C254" s="1" t="n">
        <v>46167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19505-2026</t>
        </is>
      </c>
      <c r="B255" s="1" t="n">
        <v>46134.33460648148</v>
      </c>
      <c r="C255" s="1" t="n">
        <v>46167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19512-2026</t>
        </is>
      </c>
      <c r="B256" s="1" t="n">
        <v>46134.3412962963</v>
      </c>
      <c r="C256" s="1" t="n">
        <v>46167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19502-2026</t>
        </is>
      </c>
      <c r="B257" s="1" t="n">
        <v>46134.33180555556</v>
      </c>
      <c r="C257" s="1" t="n">
        <v>46167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19503-2026</t>
        </is>
      </c>
      <c r="B258" s="1" t="n">
        <v>46134.33292824074</v>
      </c>
      <c r="C258" s="1" t="n">
        <v>46167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19509-2026</t>
        </is>
      </c>
      <c r="B259" s="1" t="n">
        <v>46134.33887731482</v>
      </c>
      <c r="C259" s="1" t="n">
        <v>46167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35659-2023</t>
        </is>
      </c>
      <c r="B260" s="1" t="n">
        <v>45147</v>
      </c>
      <c r="C260" s="1" t="n">
        <v>46167</v>
      </c>
      <c r="D260" t="inlineStr">
        <is>
          <t>ÖREBRO LÄN</t>
        </is>
      </c>
      <c r="E260" t="inlineStr">
        <is>
          <t>NORA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19504-2026</t>
        </is>
      </c>
      <c r="B261" s="1" t="n">
        <v>46134.33381944444</v>
      </c>
      <c r="C261" s="1" t="n">
        <v>46167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17140-2022</t>
        </is>
      </c>
      <c r="B262" s="1" t="n">
        <v>44677.53418981482</v>
      </c>
      <c r="C262" s="1" t="n">
        <v>46167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19501-2026</t>
        </is>
      </c>
      <c r="B263" s="1" t="n">
        <v>46134.33060185185</v>
      </c>
      <c r="C263" s="1" t="n">
        <v>46167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19510-2026</t>
        </is>
      </c>
      <c r="B264" s="1" t="n">
        <v>46134.33972222222</v>
      </c>
      <c r="C264" s="1" t="n">
        <v>46167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35330-2021</t>
        </is>
      </c>
      <c r="B265" s="1" t="n">
        <v>44384.81996527778</v>
      </c>
      <c r="C265" s="1" t="n">
        <v>46167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40126-2021</t>
        </is>
      </c>
      <c r="B266" s="1" t="n">
        <v>44418</v>
      </c>
      <c r="C266" s="1" t="n">
        <v>46167</v>
      </c>
      <c r="D266" t="inlineStr">
        <is>
          <t>ÖREBRO LÄN</t>
        </is>
      </c>
      <c r="E266" t="inlineStr">
        <is>
          <t>NORA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34026-2022</t>
        </is>
      </c>
      <c r="B267" s="1" t="n">
        <v>44791.32811342592</v>
      </c>
      <c r="C267" s="1" t="n">
        <v>46167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24828-2024</t>
        </is>
      </c>
      <c r="B268" s="1" t="n">
        <v>45461.3750462963</v>
      </c>
      <c r="C268" s="1" t="n">
        <v>46167</v>
      </c>
      <c r="D268" t="inlineStr">
        <is>
          <t>ÖREBRO LÄN</t>
        </is>
      </c>
      <c r="E268" t="inlineStr">
        <is>
          <t>NORA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52505-2023</t>
        </is>
      </c>
      <c r="B269" s="1" t="n">
        <v>45225</v>
      </c>
      <c r="C269" s="1" t="n">
        <v>46167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14242-2026</t>
        </is>
      </c>
      <c r="B270" s="1" t="n">
        <v>46099.60429398148</v>
      </c>
      <c r="C270" s="1" t="n">
        <v>46167</v>
      </c>
      <c r="D270" t="inlineStr">
        <is>
          <t>ÖREBRO LÄN</t>
        </is>
      </c>
      <c r="E270" t="inlineStr">
        <is>
          <t>NORA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29018-2023</t>
        </is>
      </c>
      <c r="B271" s="1" t="n">
        <v>45104</v>
      </c>
      <c r="C271" s="1" t="n">
        <v>46167</v>
      </c>
      <c r="D271" t="inlineStr">
        <is>
          <t>ÖREBRO LÄN</t>
        </is>
      </c>
      <c r="E271" t="inlineStr">
        <is>
          <t>NORA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14253-2026</t>
        </is>
      </c>
      <c r="B272" s="1" t="n">
        <v>46099.61896990741</v>
      </c>
      <c r="C272" s="1" t="n">
        <v>46167</v>
      </c>
      <c r="D272" t="inlineStr">
        <is>
          <t>ÖREBRO LÄN</t>
        </is>
      </c>
      <c r="E272" t="inlineStr">
        <is>
          <t>NORA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62217-2023</t>
        </is>
      </c>
      <c r="B273" s="1" t="n">
        <v>45267.51355324074</v>
      </c>
      <c r="C273" s="1" t="n">
        <v>46167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21256-2026</t>
        </is>
      </c>
      <c r="B274" s="1" t="n">
        <v>46147.39226851852</v>
      </c>
      <c r="C274" s="1" t="n">
        <v>46167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21270-2026</t>
        </is>
      </c>
      <c r="B275" s="1" t="n">
        <v>46147.43085648148</v>
      </c>
      <c r="C275" s="1" t="n">
        <v>46167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34755-2024</t>
        </is>
      </c>
      <c r="B276" s="1" t="n">
        <v>45526</v>
      </c>
      <c r="C276" s="1" t="n">
        <v>46167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21271-2026</t>
        </is>
      </c>
      <c r="B277" s="1" t="n">
        <v>46147.43164351852</v>
      </c>
      <c r="C277" s="1" t="n">
        <v>46167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59637-2021</t>
        </is>
      </c>
      <c r="B278" s="1" t="n">
        <v>44493</v>
      </c>
      <c r="C278" s="1" t="n">
        <v>46167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21276-2026</t>
        </is>
      </c>
      <c r="B279" s="1" t="n">
        <v>46147.44309027777</v>
      </c>
      <c r="C279" s="1" t="n">
        <v>46167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10882-2024</t>
        </is>
      </c>
      <c r="B280" s="1" t="n">
        <v>45370</v>
      </c>
      <c r="C280" s="1" t="n">
        <v>46167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8295-2024</t>
        </is>
      </c>
      <c r="B281" s="1" t="n">
        <v>45352.43674768518</v>
      </c>
      <c r="C281" s="1" t="n">
        <v>46167</v>
      </c>
      <c r="D281" t="inlineStr">
        <is>
          <t>ÖREBRO LÄN</t>
        </is>
      </c>
      <c r="E281" t="inlineStr">
        <is>
          <t>NORA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21262-2026</t>
        </is>
      </c>
      <c r="B282" s="1" t="n">
        <v>46147.40321759259</v>
      </c>
      <c r="C282" s="1" t="n">
        <v>46167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24832-2024</t>
        </is>
      </c>
      <c r="B283" s="1" t="n">
        <v>45461.38202546296</v>
      </c>
      <c r="C283" s="1" t="n">
        <v>46167</v>
      </c>
      <c r="D283" t="inlineStr">
        <is>
          <t>ÖREBRO LÄN</t>
        </is>
      </c>
      <c r="E283" t="inlineStr">
        <is>
          <t>NORA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15712-2026</t>
        </is>
      </c>
      <c r="B284" s="1" t="n">
        <v>46107.35884259259</v>
      </c>
      <c r="C284" s="1" t="n">
        <v>46167</v>
      </c>
      <c r="D284" t="inlineStr">
        <is>
          <t>ÖREBRO LÄN</t>
        </is>
      </c>
      <c r="E284" t="inlineStr">
        <is>
          <t>NORA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15692-2026</t>
        </is>
      </c>
      <c r="B285" s="1" t="n">
        <v>46107.34225694444</v>
      </c>
      <c r="C285" s="1" t="n">
        <v>46167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15702-2026</t>
        </is>
      </c>
      <c r="B286" s="1" t="n">
        <v>46107.34780092593</v>
      </c>
      <c r="C286" s="1" t="n">
        <v>46167</v>
      </c>
      <c r="D286" t="inlineStr">
        <is>
          <t>ÖREBRO LÄN</t>
        </is>
      </c>
      <c r="E286" t="inlineStr">
        <is>
          <t>NORA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70200-2021</t>
        </is>
      </c>
      <c r="B287" s="1" t="n">
        <v>44534.82171296296</v>
      </c>
      <c r="C287" s="1" t="n">
        <v>46167</v>
      </c>
      <c r="D287" t="inlineStr">
        <is>
          <t>ÖREBRO LÄN</t>
        </is>
      </c>
      <c r="E287" t="inlineStr">
        <is>
          <t>NORA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22389-2023</t>
        </is>
      </c>
      <c r="B288" s="1" t="n">
        <v>45070</v>
      </c>
      <c r="C288" s="1" t="n">
        <v>46167</v>
      </c>
      <c r="D288" t="inlineStr">
        <is>
          <t>ÖREBRO LÄN</t>
        </is>
      </c>
      <c r="E288" t="inlineStr">
        <is>
          <t>NORA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35656-2024</t>
        </is>
      </c>
      <c r="B289" s="1" t="n">
        <v>45532</v>
      </c>
      <c r="C289" s="1" t="n">
        <v>46167</v>
      </c>
      <c r="D289" t="inlineStr">
        <is>
          <t>ÖREBRO LÄN</t>
        </is>
      </c>
      <c r="E289" t="inlineStr">
        <is>
          <t>NORA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11631-2022</t>
        </is>
      </c>
      <c r="B290" s="1" t="n">
        <v>44631</v>
      </c>
      <c r="C290" s="1" t="n">
        <v>46167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5217-2022</t>
        </is>
      </c>
      <c r="B291" s="1" t="n">
        <v>44593</v>
      </c>
      <c r="C291" s="1" t="n">
        <v>46167</v>
      </c>
      <c r="D291" t="inlineStr">
        <is>
          <t>ÖREBRO LÄN</t>
        </is>
      </c>
      <c r="E291" t="inlineStr">
        <is>
          <t>NORA</t>
        </is>
      </c>
      <c r="F291" t="inlineStr">
        <is>
          <t>Övriga Aktiebolag</t>
        </is>
      </c>
      <c r="G291" t="n">
        <v>38.4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37849-2023</t>
        </is>
      </c>
      <c r="B292" s="1" t="n">
        <v>45158</v>
      </c>
      <c r="C292" s="1" t="n">
        <v>46167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24391-2024</t>
        </is>
      </c>
      <c r="B293" s="1" t="n">
        <v>45457.63850694444</v>
      </c>
      <c r="C293" s="1" t="n">
        <v>46167</v>
      </c>
      <c r="D293" t="inlineStr">
        <is>
          <t>ÖREBRO LÄN</t>
        </is>
      </c>
      <c r="E293" t="inlineStr">
        <is>
          <t>NORA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24392-2024</t>
        </is>
      </c>
      <c r="B294" s="1" t="n">
        <v>45457.64085648148</v>
      </c>
      <c r="C294" s="1" t="n">
        <v>46167</v>
      </c>
      <c r="D294" t="inlineStr">
        <is>
          <t>ÖREBRO LÄN</t>
        </is>
      </c>
      <c r="E294" t="inlineStr">
        <is>
          <t>NORA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41676-2021</t>
        </is>
      </c>
      <c r="B295" s="1" t="n">
        <v>44425.50175925926</v>
      </c>
      <c r="C295" s="1" t="n">
        <v>46167</v>
      </c>
      <c r="D295" t="inlineStr">
        <is>
          <t>ÖREBRO LÄN</t>
        </is>
      </c>
      <c r="E295" t="inlineStr">
        <is>
          <t>NORA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35144-2023</t>
        </is>
      </c>
      <c r="B296" s="1" t="n">
        <v>45145</v>
      </c>
      <c r="C296" s="1" t="n">
        <v>46167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348-2025</t>
        </is>
      </c>
      <c r="B297" s="1" t="n">
        <v>45660</v>
      </c>
      <c r="C297" s="1" t="n">
        <v>46167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73009-2021</t>
        </is>
      </c>
      <c r="B298" s="1" t="n">
        <v>44550.33282407407</v>
      </c>
      <c r="C298" s="1" t="n">
        <v>46167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38798-2021</t>
        </is>
      </c>
      <c r="B299" s="1" t="n">
        <v>44410</v>
      </c>
      <c r="C299" s="1" t="n">
        <v>46167</v>
      </c>
      <c r="D299" t="inlineStr">
        <is>
          <t>ÖREBRO LÄN</t>
        </is>
      </c>
      <c r="E299" t="inlineStr">
        <is>
          <t>NORA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8936-2025</t>
        </is>
      </c>
      <c r="B300" s="1" t="n">
        <v>45714</v>
      </c>
      <c r="C300" s="1" t="n">
        <v>46167</v>
      </c>
      <c r="D300" t="inlineStr">
        <is>
          <t>ÖREBRO LÄN</t>
        </is>
      </c>
      <c r="E300" t="inlineStr">
        <is>
          <t>NORA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53365-2023</t>
        </is>
      </c>
      <c r="B301" s="1" t="n">
        <v>45229.66844907407</v>
      </c>
      <c r="C301" s="1" t="n">
        <v>46167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11888-2025</t>
        </is>
      </c>
      <c r="B302" s="1" t="n">
        <v>45728.45688657407</v>
      </c>
      <c r="C302" s="1" t="n">
        <v>46167</v>
      </c>
      <c r="D302" t="inlineStr">
        <is>
          <t>ÖREBRO LÄN</t>
        </is>
      </c>
      <c r="E302" t="inlineStr">
        <is>
          <t>NORA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21846-2025</t>
        </is>
      </c>
      <c r="B303" s="1" t="n">
        <v>45784.33967592593</v>
      </c>
      <c r="C303" s="1" t="n">
        <v>46167</v>
      </c>
      <c r="D303" t="inlineStr">
        <is>
          <t>ÖREBRO LÄN</t>
        </is>
      </c>
      <c r="E303" t="inlineStr">
        <is>
          <t>NORA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16281-2024</t>
        </is>
      </c>
      <c r="B304" s="1" t="n">
        <v>45407.36091435186</v>
      </c>
      <c r="C304" s="1" t="n">
        <v>46167</v>
      </c>
      <c r="D304" t="inlineStr">
        <is>
          <t>ÖREBRO LÄN</t>
        </is>
      </c>
      <c r="E304" t="inlineStr">
        <is>
          <t>NORA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1566-2025</t>
        </is>
      </c>
      <c r="B305" s="1" t="n">
        <v>45670</v>
      </c>
      <c r="C305" s="1" t="n">
        <v>46167</v>
      </c>
      <c r="D305" t="inlineStr">
        <is>
          <t>ÖREBRO LÄN</t>
        </is>
      </c>
      <c r="E305" t="inlineStr">
        <is>
          <t>NORA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54604-2024</t>
        </is>
      </c>
      <c r="B306" s="1" t="n">
        <v>45617.683125</v>
      </c>
      <c r="C306" s="1" t="n">
        <v>46167</v>
      </c>
      <c r="D306" t="inlineStr">
        <is>
          <t>ÖREBRO LÄN</t>
        </is>
      </c>
      <c r="E306" t="inlineStr">
        <is>
          <t>NORA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17344-2024</t>
        </is>
      </c>
      <c r="B307" s="1" t="n">
        <v>45414.58052083333</v>
      </c>
      <c r="C307" s="1" t="n">
        <v>46167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5562-2025</t>
        </is>
      </c>
      <c r="B308" s="1" t="n">
        <v>45693</v>
      </c>
      <c r="C308" s="1" t="n">
        <v>46167</v>
      </c>
      <c r="D308" t="inlineStr">
        <is>
          <t>ÖREBRO LÄN</t>
        </is>
      </c>
      <c r="E308" t="inlineStr">
        <is>
          <t>NORA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5590-2025</t>
        </is>
      </c>
      <c r="B309" s="1" t="n">
        <v>45693</v>
      </c>
      <c r="C309" s="1" t="n">
        <v>46167</v>
      </c>
      <c r="D309" t="inlineStr">
        <is>
          <t>ÖREBRO LÄN</t>
        </is>
      </c>
      <c r="E309" t="inlineStr">
        <is>
          <t>NORA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52303-2024</t>
        </is>
      </c>
      <c r="B310" s="1" t="n">
        <v>45608.75231481482</v>
      </c>
      <c r="C310" s="1" t="n">
        <v>46167</v>
      </c>
      <c r="D310" t="inlineStr">
        <is>
          <t>ÖREBRO LÄN</t>
        </is>
      </c>
      <c r="E310" t="inlineStr">
        <is>
          <t>NORA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23277-2024</t>
        </is>
      </c>
      <c r="B311" s="1" t="n">
        <v>45453.40982638889</v>
      </c>
      <c r="C311" s="1" t="n">
        <v>46167</v>
      </c>
      <c r="D311" t="inlineStr">
        <is>
          <t>ÖREBRO LÄN</t>
        </is>
      </c>
      <c r="E311" t="inlineStr">
        <is>
          <t>NORA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26657-2025</t>
        </is>
      </c>
      <c r="B312" s="1" t="n">
        <v>45810.39180555556</v>
      </c>
      <c r="C312" s="1" t="n">
        <v>46167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27844-2025</t>
        </is>
      </c>
      <c r="B313" s="1" t="n">
        <v>45817.39009259259</v>
      </c>
      <c r="C313" s="1" t="n">
        <v>46167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27878-2025</t>
        </is>
      </c>
      <c r="B314" s="1" t="n">
        <v>45817.443125</v>
      </c>
      <c r="C314" s="1" t="n">
        <v>46167</v>
      </c>
      <c r="D314" t="inlineStr">
        <is>
          <t>ÖREBRO LÄN</t>
        </is>
      </c>
      <c r="E314" t="inlineStr">
        <is>
          <t>NORA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32501-2025</t>
        </is>
      </c>
      <c r="B315" s="1" t="n">
        <v>45838.46260416666</v>
      </c>
      <c r="C315" s="1" t="n">
        <v>46167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2026-05-25T10:54:35Z</dcterms:created>
  <dcterms:modified xmlns:dcterms="http://purl.org/dc/terms/" xmlns:xsi="http://www.w3.org/2001/XMLSchema-instance" xsi:type="dcterms:W3CDTF">2026-05-25T10:54:36Z</dcterms:modified>
</cp:coreProperties>
</file>