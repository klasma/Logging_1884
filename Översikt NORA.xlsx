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45565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45565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45565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19071-2023</t>
        </is>
      </c>
      <c r="B8" s="1" t="n">
        <v>45048</v>
      </c>
      <c r="C8" s="1" t="n">
        <v>45565</v>
      </c>
      <c r="D8" t="inlineStr">
        <is>
          <t>ÖREBRO LÄN</t>
        </is>
      </c>
      <c r="E8" t="inlineStr">
        <is>
          <t>NORA</t>
        </is>
      </c>
      <c r="G8" t="n">
        <v>4.2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Mörk husmossa
Svavelriska
Västlig hakmossa</t>
        </is>
      </c>
      <c r="S8">
        <f>HYPERLINK("https://klasma.github.io/Logging_1884/artfynd/A 19071-2023 artfynd.xlsx", "A 19071-2023")</f>
        <v/>
      </c>
      <c r="T8">
        <f>HYPERLINK("https://klasma.github.io/Logging_1884/kartor/A 19071-2023 karta.png", "A 19071-2023")</f>
        <v/>
      </c>
      <c r="V8">
        <f>HYPERLINK("https://klasma.github.io/Logging_1884/klagomål/A 19071-2023 FSC-klagomål.docx", "A 19071-2023")</f>
        <v/>
      </c>
      <c r="W8">
        <f>HYPERLINK("https://klasma.github.io/Logging_1884/klagomålsmail/A 19071-2023 FSC-klagomål mail.docx", "A 19071-2023")</f>
        <v/>
      </c>
      <c r="X8">
        <f>HYPERLINK("https://klasma.github.io/Logging_1884/tillsyn/A 19071-2023 tillsynsbegäran.docx", "A 19071-2023")</f>
        <v/>
      </c>
      <c r="Y8">
        <f>HYPERLINK("https://klasma.github.io/Logging_1884/tillsynsmail/A 19071-2023 tillsynsbegäran mail.docx", "A 19071-2023")</f>
        <v/>
      </c>
    </row>
    <row r="9" ht="15" customHeight="1">
      <c r="A9" t="inlineStr">
        <is>
          <t>A 22408-2023</t>
        </is>
      </c>
      <c r="B9" s="1" t="n">
        <v>45070</v>
      </c>
      <c r="C9" s="1" t="n">
        <v>45565</v>
      </c>
      <c r="D9" t="inlineStr">
        <is>
          <t>ÖREBRO LÄN</t>
        </is>
      </c>
      <c r="E9" t="inlineStr">
        <is>
          <t>NORA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 taggsvamp
Fjällig taggsvamp s.str.
Tibast</t>
        </is>
      </c>
      <c r="S9">
        <f>HYPERLINK("https://klasma.github.io/Logging_1884/artfynd/A 22408-2023 artfynd.xlsx", "A 22408-2023")</f>
        <v/>
      </c>
      <c r="T9">
        <f>HYPERLINK("https://klasma.github.io/Logging_1884/kartor/A 22408-2023 karta.png", "A 22408-2023")</f>
        <v/>
      </c>
      <c r="V9">
        <f>HYPERLINK("https://klasma.github.io/Logging_1884/klagomål/A 22408-2023 FSC-klagomål.docx", "A 22408-2023")</f>
        <v/>
      </c>
      <c r="W9">
        <f>HYPERLINK("https://klasma.github.io/Logging_1884/klagomålsmail/A 22408-2023 FSC-klagomål mail.docx", "A 22408-2023")</f>
        <v/>
      </c>
      <c r="X9">
        <f>HYPERLINK("https://klasma.github.io/Logging_1884/tillsyn/A 22408-2023 tillsynsbegäran.docx", "A 22408-2023")</f>
        <v/>
      </c>
      <c r="Y9">
        <f>HYPERLINK("https://klasma.github.io/Logging_1884/tillsynsmail/A 22408-2023 tillsynsbegäran mail.docx", "A 22408-2023")</f>
        <v/>
      </c>
    </row>
    <row r="10" ht="15" customHeight="1">
      <c r="A10" t="inlineStr">
        <is>
          <t>A 8349-2024</t>
        </is>
      </c>
      <c r="B10" s="1" t="n">
        <v>45352</v>
      </c>
      <c r="C10" s="1" t="n">
        <v>45565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Cinnoberspindling
Spillkråka
Vedticka
Ögonpyrola</t>
        </is>
      </c>
      <c r="S10">
        <f>HYPERLINK("https://klasma.github.io/Logging_1884/artfynd/A 8349-2024 artfynd.xlsx", "A 8349-2024")</f>
        <v/>
      </c>
      <c r="T10">
        <f>HYPERLINK("https://klasma.github.io/Logging_1884/kartor/A 8349-2024 karta.png", "A 8349-2024")</f>
        <v/>
      </c>
      <c r="V10">
        <f>HYPERLINK("https://klasma.github.io/Logging_1884/klagomål/A 8349-2024 FSC-klagomål.docx", "A 8349-2024")</f>
        <v/>
      </c>
      <c r="W10">
        <f>HYPERLINK("https://klasma.github.io/Logging_1884/klagomålsmail/A 8349-2024 FSC-klagomål mail.docx", "A 8349-2024")</f>
        <v/>
      </c>
      <c r="X10">
        <f>HYPERLINK("https://klasma.github.io/Logging_1884/tillsyn/A 8349-2024 tillsynsbegäran.docx", "A 8349-2024")</f>
        <v/>
      </c>
      <c r="Y10">
        <f>HYPERLINK("https://klasma.github.io/Logging_1884/tillsynsmail/A 8349-2024 tillsynsbegäran mail.docx", "A 8349-2024")</f>
        <v/>
      </c>
      <c r="Z10">
        <f>HYPERLINK("https://klasma.github.io/Logging_1884/fåglar/A 8349-2024 prioriterade fågelarter.docx", "A 8349-2024")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45565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45565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Drillsnäppa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</row>
    <row r="13" ht="15" customHeight="1">
      <c r="A13" t="inlineStr">
        <is>
          <t>A 52210-2022</t>
        </is>
      </c>
      <c r="B13" s="1" t="n">
        <v>44873</v>
      </c>
      <c r="C13" s="1" t="n">
        <v>45565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8.5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Asknätfjäril</t>
        </is>
      </c>
      <c r="S13">
        <f>HYPERLINK("https://klasma.github.io/Logging_1884/artfynd/A 52210-2022 artfynd.xlsx", "A 52210-2022")</f>
        <v/>
      </c>
      <c r="T13">
        <f>HYPERLINK("https://klasma.github.io/Logging_1884/kartor/A 52210-2022 karta.png", "A 52210-2022")</f>
        <v/>
      </c>
      <c r="V13">
        <f>HYPERLINK("https://klasma.github.io/Logging_1884/klagomål/A 52210-2022 FSC-klagomål.docx", "A 52210-2022")</f>
        <v/>
      </c>
      <c r="W13">
        <f>HYPERLINK("https://klasma.github.io/Logging_1884/klagomålsmail/A 52210-2022 FSC-klagomål mail.docx", "A 52210-2022")</f>
        <v/>
      </c>
      <c r="X13">
        <f>HYPERLINK("https://klasma.github.io/Logging_1884/tillsyn/A 52210-2022 tillsynsbegäran.docx", "A 52210-2022")</f>
        <v/>
      </c>
      <c r="Y13">
        <f>HYPERLINK("https://klasma.github.io/Logging_1884/tillsynsmail/A 52210-2022 tillsynsbegäran mail.docx", "A 52210-2022")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45565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45565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45565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45565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45565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45565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45565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45565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45565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45565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45565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45565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45565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45565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45565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45565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45565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45565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45565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45565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45565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45565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45565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45565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45565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45565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45565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45565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45565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45565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45565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45565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45565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45565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45565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45565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45565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45565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45565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45565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45565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45565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45565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45565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45565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45565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45565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45565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45565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45565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45565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45565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45565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45565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45565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45565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45565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45565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45565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45565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45565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45565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45565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45565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45565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45565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45565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45565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45565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45565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45565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45565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45565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45565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45565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45565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45565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45565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45565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45565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45565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45565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45565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45565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45565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45565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45565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45565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45565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45565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45565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45565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45565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45565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45565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45565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45565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45565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45565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45565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45565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45565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45565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45565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45565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45565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45565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45565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45565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45565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45565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45565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45565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45565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45565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45565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45565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45565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45565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45565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45565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45565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45565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45565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45565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45565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45565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45565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45565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45565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45565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45565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45565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45565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45565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45565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45565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45565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45565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45565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45565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45565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45565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45565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45565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45565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45565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45565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45565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45565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45565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45565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45565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45565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45565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45565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45565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45565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45565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45565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45565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45565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45565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45565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45565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45565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45565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45565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45565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45565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45565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45565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45565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45565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45565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45565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45565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45565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45565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45565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45565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45565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45565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45565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45565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45565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45565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45565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45565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45565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45565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45565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45565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45565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45565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45565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45565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45565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45565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45565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45565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45565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45565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45565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45565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45565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45565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45565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45565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45565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45565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45565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45565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45565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45565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45565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45565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45565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45565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45565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45565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45565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45565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45565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45565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45565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45565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45565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45565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45565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45565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45565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45565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45565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45565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45565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45565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45565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45565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45565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45565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45565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45565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45565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45565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45565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45565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45565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45565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45565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45565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45565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45565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45565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45565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45565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45565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45565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45565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45565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45565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45565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45565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45565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45565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45565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45565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45565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45565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45565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45565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45565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45565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45565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45565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45565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45565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45565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45565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45565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45565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45565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45565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45565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45565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45565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45565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45565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45565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45565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45565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45565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45565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45565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45565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45565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45565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45565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45565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45565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45565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45565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45565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45565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45565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45565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45565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45565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45565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45565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45565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45565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45565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45565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45565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45565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45565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2024-09-30T16:46:03Z</dcterms:created>
  <dcterms:modified xmlns:dcterms="http://purl.org/dc/terms/" xmlns:xsi="http://www.w3.org/2001/XMLSchema-instance" xsi:type="dcterms:W3CDTF">2024-09-30T16:46:03Z</dcterms:modified>
</cp:coreProperties>
</file>