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45844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45844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45844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45844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45844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45844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45844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45844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45844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45844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45844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45844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45844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45844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45844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45844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45844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45844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45844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45844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45844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22442-2023</t>
        </is>
      </c>
      <c r="B23" s="1" t="n">
        <v>45070</v>
      </c>
      <c r="C23" s="1" t="n">
        <v>45844</v>
      </c>
      <c r="D23" t="inlineStr">
        <is>
          <t>ÖREBRO LÄN</t>
        </is>
      </c>
      <c r="E23" t="inlineStr">
        <is>
          <t>NORA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22442-2023 artfynd.xlsx", "A 22442-2023")</f>
        <v/>
      </c>
      <c r="T23">
        <f>HYPERLINK("https://klasma.github.io/Logging_1884/kartor/A 22442-2023 karta.png", "A 22442-2023")</f>
        <v/>
      </c>
      <c r="V23">
        <f>HYPERLINK("https://klasma.github.io/Logging_1884/klagomål/A 22442-2023 FSC-klagomål.docx", "A 22442-2023")</f>
        <v/>
      </c>
      <c r="W23">
        <f>HYPERLINK("https://klasma.github.io/Logging_1884/klagomålsmail/A 22442-2023 FSC-klagomål mail.docx", "A 22442-2023")</f>
        <v/>
      </c>
      <c r="X23">
        <f>HYPERLINK("https://klasma.github.io/Logging_1884/tillsyn/A 22442-2023 tillsynsbegäran.docx", "A 22442-2023")</f>
        <v/>
      </c>
      <c r="Y23">
        <f>HYPERLINK("https://klasma.github.io/Logging_1884/tillsynsmail/A 22442-2023 tillsynsbegäran mail.docx", "A 22442-2023")</f>
        <v/>
      </c>
    </row>
    <row r="24" ht="15" customHeight="1">
      <c r="A24" t="inlineStr">
        <is>
          <t>A 22447-2023</t>
        </is>
      </c>
      <c r="B24" s="1" t="n">
        <v>45070</v>
      </c>
      <c r="C24" s="1" t="n">
        <v>45844</v>
      </c>
      <c r="D24" t="inlineStr">
        <is>
          <t>ÖREBRO LÄN</t>
        </is>
      </c>
      <c r="E24" t="inlineStr">
        <is>
          <t>NORA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HYPERLINK("https://klasma.github.io/Logging_1884/artfynd/A 22447-2023 artfynd.xlsx", "A 22447-2023")</f>
        <v/>
      </c>
      <c r="T24">
        <f>HYPERLINK("https://klasma.github.io/Logging_1884/kartor/A 22447-2023 karta.png", "A 22447-2023")</f>
        <v/>
      </c>
      <c r="V24">
        <f>HYPERLINK("https://klasma.github.io/Logging_1884/klagomål/A 22447-2023 FSC-klagomål.docx", "A 22447-2023")</f>
        <v/>
      </c>
      <c r="W24">
        <f>HYPERLINK("https://klasma.github.io/Logging_1884/klagomålsmail/A 22447-2023 FSC-klagomål mail.docx", "A 22447-2023")</f>
        <v/>
      </c>
      <c r="X24">
        <f>HYPERLINK("https://klasma.github.io/Logging_1884/tillsyn/A 22447-2023 tillsynsbegäran.docx", "A 22447-2023")</f>
        <v/>
      </c>
      <c r="Y24">
        <f>HYPERLINK("https://klasma.github.io/Logging_1884/tillsynsmail/A 22447-2023 tillsynsbegäran mail.docx", "A 22447-2023")</f>
        <v/>
      </c>
    </row>
    <row r="25" ht="15" customHeight="1">
      <c r="A25" t="inlineStr">
        <is>
          <t>A 23874-2023</t>
        </is>
      </c>
      <c r="B25" s="1" t="n">
        <v>45078</v>
      </c>
      <c r="C25" s="1" t="n">
        <v>45844</v>
      </c>
      <c r="D25" t="inlineStr">
        <is>
          <t>ÖREBRO LÄN</t>
        </is>
      </c>
      <c r="E25" t="inlineStr">
        <is>
          <t>NORA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HYPERLINK("https://klasma.github.io/Logging_1884/artfynd/A 23874-2023 artfynd.xlsx", "A 23874-2023")</f>
        <v/>
      </c>
      <c r="T25">
        <f>HYPERLINK("https://klasma.github.io/Logging_1884/kartor/A 23874-2023 karta.png", "A 23874-2023")</f>
        <v/>
      </c>
      <c r="V25">
        <f>HYPERLINK("https://klasma.github.io/Logging_1884/klagomål/A 23874-2023 FSC-klagomål.docx", "A 23874-2023")</f>
        <v/>
      </c>
      <c r="W25">
        <f>HYPERLINK("https://klasma.github.io/Logging_1884/klagomålsmail/A 23874-2023 FSC-klagomål mail.docx", "A 23874-2023")</f>
        <v/>
      </c>
      <c r="X25">
        <f>HYPERLINK("https://klasma.github.io/Logging_1884/tillsyn/A 23874-2023 tillsynsbegäran.docx", "A 23874-2023")</f>
        <v/>
      </c>
      <c r="Y25">
        <f>HYPERLINK("https://klasma.github.io/Logging_1884/tillsynsmail/A 23874-2023 tillsynsbegäran mail.docx", "A 23874-2023")</f>
        <v/>
      </c>
    </row>
    <row r="26" ht="15" customHeight="1">
      <c r="A26" t="inlineStr">
        <is>
          <t>A 24355-2023</t>
        </is>
      </c>
      <c r="B26" s="1" t="n">
        <v>45082</v>
      </c>
      <c r="C26" s="1" t="n">
        <v>45844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24355-2023 artfynd.xlsx", "A 24355-2023")</f>
        <v/>
      </c>
      <c r="T26">
        <f>HYPERLINK("https://klasma.github.io/Logging_1884/kartor/A 24355-2023 karta.png", "A 24355-2023")</f>
        <v/>
      </c>
      <c r="U26">
        <f>HYPERLINK("https://klasma.github.io/Logging_1884/knärot/A 24355-2023 karta knärot.png", "A 24355-2023")</f>
        <v/>
      </c>
      <c r="V26">
        <f>HYPERLINK("https://klasma.github.io/Logging_1884/klagomål/A 24355-2023 FSC-klagomål.docx", "A 24355-2023")</f>
        <v/>
      </c>
      <c r="W26">
        <f>HYPERLINK("https://klasma.github.io/Logging_1884/klagomålsmail/A 24355-2023 FSC-klagomål mail.docx", "A 24355-2023")</f>
        <v/>
      </c>
      <c r="X26">
        <f>HYPERLINK("https://klasma.github.io/Logging_1884/tillsyn/A 24355-2023 tillsynsbegäran.docx", "A 24355-2023")</f>
        <v/>
      </c>
      <c r="Y26">
        <f>HYPERLINK("https://klasma.github.io/Logging_1884/tillsynsmail/A 24355-2023 tillsynsbegäran mail.docx", "A 24355-2023")</f>
        <v/>
      </c>
    </row>
    <row r="27" ht="15" customHeight="1">
      <c r="A27" t="inlineStr">
        <is>
          <t>A 24356-2023</t>
        </is>
      </c>
      <c r="B27" s="1" t="n">
        <v>45082</v>
      </c>
      <c r="C27" s="1" t="n">
        <v>45844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15.3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HYPERLINK("https://klasma.github.io/Logging_1884/artfynd/A 24356-2023 artfynd.xlsx", "A 24356-2023")</f>
        <v/>
      </c>
      <c r="T27">
        <f>HYPERLINK("https://klasma.github.io/Logging_1884/kartor/A 24356-2023 karta.png", "A 24356-2023")</f>
        <v/>
      </c>
      <c r="U27">
        <f>HYPERLINK("https://klasma.github.io/Logging_1884/knärot/A 24356-2023 karta knärot.png", "A 24356-2023")</f>
        <v/>
      </c>
      <c r="V27">
        <f>HYPERLINK("https://klasma.github.io/Logging_1884/klagomål/A 24356-2023 FSC-klagomål.docx", "A 24356-2023")</f>
        <v/>
      </c>
      <c r="W27">
        <f>HYPERLINK("https://klasma.github.io/Logging_1884/klagomålsmail/A 24356-2023 FSC-klagomål mail.docx", "A 24356-2023")</f>
        <v/>
      </c>
      <c r="X27">
        <f>HYPERLINK("https://klasma.github.io/Logging_1884/tillsyn/A 24356-2023 tillsynsbegäran.docx", "A 24356-2023")</f>
        <v/>
      </c>
      <c r="Y27">
        <f>HYPERLINK("https://klasma.github.io/Logging_1884/tillsynsmail/A 24356-2023 tillsynsbegäran mail.docx", "A 24356-2023")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45844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52112-2023</t>
        </is>
      </c>
      <c r="B29" s="1" t="n">
        <v>45223</v>
      </c>
      <c r="C29" s="1" t="n">
        <v>45844</v>
      </c>
      <c r="D29" t="inlineStr">
        <is>
          <t>ÖREBRO LÄN</t>
        </is>
      </c>
      <c r="E29" t="inlineStr">
        <is>
          <t>NORA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Korthornad vedstekel</t>
        </is>
      </c>
      <c r="S29">
        <f>HYPERLINK("https://klasma.github.io/Logging_1884/artfynd/A 52112-2023 artfynd.xlsx", "A 52112-2023")</f>
        <v/>
      </c>
      <c r="T29">
        <f>HYPERLINK("https://klasma.github.io/Logging_1884/kartor/A 52112-2023 karta.png", "A 52112-2023")</f>
        <v/>
      </c>
      <c r="V29">
        <f>HYPERLINK("https://klasma.github.io/Logging_1884/klagomål/A 52112-2023 FSC-klagomål.docx", "A 52112-2023")</f>
        <v/>
      </c>
      <c r="W29">
        <f>HYPERLINK("https://klasma.github.io/Logging_1884/klagomålsmail/A 52112-2023 FSC-klagomål mail.docx", "A 52112-2023")</f>
        <v/>
      </c>
      <c r="X29">
        <f>HYPERLINK("https://klasma.github.io/Logging_1884/tillsyn/A 52112-2023 tillsynsbegäran.docx", "A 52112-2023")</f>
        <v/>
      </c>
      <c r="Y29">
        <f>HYPERLINK("https://klasma.github.io/Logging_1884/tillsynsmail/A 52112-2023 tillsynsbegäran mail.docx", "A 52112-2023")</f>
        <v/>
      </c>
    </row>
    <row r="30" ht="15" customHeight="1">
      <c r="A30" t="inlineStr">
        <is>
          <t>A 53940-2023</t>
        </is>
      </c>
      <c r="B30" s="1" t="n">
        <v>45231</v>
      </c>
      <c r="C30" s="1" t="n">
        <v>45844</v>
      </c>
      <c r="D30" t="inlineStr">
        <is>
          <t>ÖREBRO LÄN</t>
        </is>
      </c>
      <c r="E30" t="inlineStr">
        <is>
          <t>NORA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Fältgentiana</t>
        </is>
      </c>
      <c r="S30">
        <f>HYPERLINK("https://klasma.github.io/Logging_1884/artfynd/A 53940-2023 artfynd.xlsx", "A 53940-2023")</f>
        <v/>
      </c>
      <c r="T30">
        <f>HYPERLINK("https://klasma.github.io/Logging_1884/kartor/A 53940-2023 karta.png", "A 53940-2023")</f>
        <v/>
      </c>
      <c r="V30">
        <f>HYPERLINK("https://klasma.github.io/Logging_1884/klagomål/A 53940-2023 FSC-klagomål.docx", "A 53940-2023")</f>
        <v/>
      </c>
      <c r="W30">
        <f>HYPERLINK("https://klasma.github.io/Logging_1884/klagomålsmail/A 53940-2023 FSC-klagomål mail.docx", "A 53940-2023")</f>
        <v/>
      </c>
      <c r="X30">
        <f>HYPERLINK("https://klasma.github.io/Logging_1884/tillsyn/A 53940-2023 tillsynsbegäran.docx", "A 53940-2023")</f>
        <v/>
      </c>
      <c r="Y30">
        <f>HYPERLINK("https://klasma.github.io/Logging_1884/tillsynsmail/A 53940-2023 tillsynsbegäran mail.docx", "A 53940-2023")</f>
        <v/>
      </c>
    </row>
    <row r="31" ht="15" customHeight="1">
      <c r="A31" t="inlineStr">
        <is>
          <t>A 15327-2024</t>
        </is>
      </c>
      <c r="B31" s="1" t="n">
        <v>45400</v>
      </c>
      <c r="C31" s="1" t="n">
        <v>45844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16539-2024</t>
        </is>
      </c>
      <c r="B32" s="1" t="n">
        <v>45408</v>
      </c>
      <c r="C32" s="1" t="n">
        <v>45844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16539-2024 artfynd.xlsx", "A 16539-2024")</f>
        <v/>
      </c>
      <c r="T32">
        <f>HYPERLINK("https://klasma.github.io/Logging_1884/kartor/A 16539-2024 karta.png", "A 16539-2024")</f>
        <v/>
      </c>
      <c r="V32">
        <f>HYPERLINK("https://klasma.github.io/Logging_1884/klagomål/A 16539-2024 FSC-klagomål.docx", "A 16539-2024")</f>
        <v/>
      </c>
      <c r="W32">
        <f>HYPERLINK("https://klasma.github.io/Logging_1884/klagomålsmail/A 16539-2024 FSC-klagomål mail.docx", "A 16539-2024")</f>
        <v/>
      </c>
      <c r="X32">
        <f>HYPERLINK("https://klasma.github.io/Logging_1884/tillsyn/A 16539-2024 tillsynsbegäran.docx", "A 16539-2024")</f>
        <v/>
      </c>
      <c r="Y32">
        <f>HYPERLINK("https://klasma.github.io/Logging_1884/tillsynsmail/A 16539-2024 tillsynsbegäran mail.docx", "A 16539-2024")</f>
        <v/>
      </c>
    </row>
    <row r="33" ht="15" customHeight="1">
      <c r="A33" t="inlineStr">
        <is>
          <t>A 16554-2024</t>
        </is>
      </c>
      <c r="B33" s="1" t="n">
        <v>45408</v>
      </c>
      <c r="C33" s="1" t="n">
        <v>45844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16554-2024 artfynd.xlsx", "A 16554-2024")</f>
        <v/>
      </c>
      <c r="T33">
        <f>HYPERLINK("https://klasma.github.io/Logging_1884/kartor/A 16554-2024 karta.png", "A 16554-2024")</f>
        <v/>
      </c>
      <c r="V33">
        <f>HYPERLINK("https://klasma.github.io/Logging_1884/klagomål/A 16554-2024 FSC-klagomål.docx", "A 16554-2024")</f>
        <v/>
      </c>
      <c r="W33">
        <f>HYPERLINK("https://klasma.github.io/Logging_1884/klagomålsmail/A 16554-2024 FSC-klagomål mail.docx", "A 16554-2024")</f>
        <v/>
      </c>
      <c r="X33">
        <f>HYPERLINK("https://klasma.github.io/Logging_1884/tillsyn/A 16554-2024 tillsynsbegäran.docx", "A 16554-2024")</f>
        <v/>
      </c>
      <c r="Y33">
        <f>HYPERLINK("https://klasma.github.io/Logging_1884/tillsynsmail/A 16554-2024 tillsynsbegäran mail.docx", "A 16554-2024")</f>
        <v/>
      </c>
    </row>
    <row r="34" ht="15" customHeight="1">
      <c r="A34" t="inlineStr">
        <is>
          <t>A 16642-2024</t>
        </is>
      </c>
      <c r="B34" s="1" t="n">
        <v>45408</v>
      </c>
      <c r="C34" s="1" t="n">
        <v>45844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HYPERLINK("https://klasma.github.io/Logging_1884/artfynd/A 16642-2024 artfynd.xlsx", "A 16642-2024")</f>
        <v/>
      </c>
      <c r="T34">
        <f>HYPERLINK("https://klasma.github.io/Logging_1884/kartor/A 16642-2024 karta.png", "A 16642-2024")</f>
        <v/>
      </c>
      <c r="V34">
        <f>HYPERLINK("https://klasma.github.io/Logging_1884/klagomål/A 16642-2024 FSC-klagomål.docx", "A 16642-2024")</f>
        <v/>
      </c>
      <c r="W34">
        <f>HYPERLINK("https://klasma.github.io/Logging_1884/klagomålsmail/A 16642-2024 FSC-klagomål mail.docx", "A 16642-2024")</f>
        <v/>
      </c>
      <c r="X34">
        <f>HYPERLINK("https://klasma.github.io/Logging_1884/tillsyn/A 16642-2024 tillsynsbegäran.docx", "A 16642-2024")</f>
        <v/>
      </c>
      <c r="Y34">
        <f>HYPERLINK("https://klasma.github.io/Logging_1884/tillsynsmail/A 16642-2024 tillsynsbegäran mail.docx", "A 16642-2024")</f>
        <v/>
      </c>
    </row>
    <row r="35" ht="15" customHeight="1">
      <c r="A35" t="inlineStr">
        <is>
          <t>A 20654-2024</t>
        </is>
      </c>
      <c r="B35" s="1" t="n">
        <v>45436</v>
      </c>
      <c r="C35" s="1" t="n">
        <v>45844</v>
      </c>
      <c r="D35" t="inlineStr">
        <is>
          <t>ÖREBRO LÄN</t>
        </is>
      </c>
      <c r="E35" t="inlineStr">
        <is>
          <t>NORA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HYPERLINK("https://klasma.github.io/Logging_1884/artfynd/A 20654-2024 artfynd.xlsx", "A 20654-2024")</f>
        <v/>
      </c>
      <c r="T35">
        <f>HYPERLINK("https://klasma.github.io/Logging_1884/kartor/A 20654-2024 karta.png", "A 20654-2024")</f>
        <v/>
      </c>
      <c r="V35">
        <f>HYPERLINK("https://klasma.github.io/Logging_1884/klagomål/A 20654-2024 FSC-klagomål.docx", "A 20654-2024")</f>
        <v/>
      </c>
      <c r="W35">
        <f>HYPERLINK("https://klasma.github.io/Logging_1884/klagomålsmail/A 20654-2024 FSC-klagomål mail.docx", "A 20654-2024")</f>
        <v/>
      </c>
      <c r="X35">
        <f>HYPERLINK("https://klasma.github.io/Logging_1884/tillsyn/A 20654-2024 tillsynsbegäran.docx", "A 20654-2024")</f>
        <v/>
      </c>
      <c r="Y35">
        <f>HYPERLINK("https://klasma.github.io/Logging_1884/tillsynsmail/A 20654-2024 tillsynsbegäran mail.docx", "A 20654-2024")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45844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14312-2025</t>
        </is>
      </c>
      <c r="B37" s="1" t="n">
        <v>45740</v>
      </c>
      <c r="C37" s="1" t="n">
        <v>45844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14312-2025 artfynd.xlsx", "A 14312-2025")</f>
        <v/>
      </c>
      <c r="T37">
        <f>HYPERLINK("https://klasma.github.io/Logging_181884/kartor/A 14312-2025 karta.png", "A 14312-2025")</f>
        <v/>
      </c>
      <c r="V37">
        <f>HYPERLINK("https://klasma.github.io/Logging_181884/klagomål/A 14312-2025 FSC-klagomål.docx", "A 14312-2025")</f>
        <v/>
      </c>
      <c r="W37">
        <f>HYPERLINK("https://klasma.github.io/Logging_181884/klagomålsmail/A 14312-2025 FSC-klagomål mail.docx", "A 14312-2025")</f>
        <v/>
      </c>
      <c r="X37">
        <f>HYPERLINK("https://klasma.github.io/Logging_181884/tillsyn/A 14312-2025 tillsynsbegäran.docx", "A 14312-2025")</f>
        <v/>
      </c>
      <c r="Y37">
        <f>HYPERLINK("https://klasma.github.io/Logging_181884/tillsynsmail/A 14312-2025 tillsynsbegäran mail.docx", "A 14312-2025")</f>
        <v/>
      </c>
      <c r="Z37">
        <f>HYPERLINK("https://klasma.github.io/Logging_181884/fåglar/A 14312-2025 prioriterade fågelarter.docx", "A 14312-2025")</f>
        <v/>
      </c>
    </row>
    <row r="38" ht="15" customHeight="1">
      <c r="A38" t="inlineStr">
        <is>
          <t>A 14306-2025</t>
        </is>
      </c>
      <c r="B38" s="1" t="n">
        <v>45740</v>
      </c>
      <c r="C38" s="1" t="n">
        <v>45844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HYPERLINK("https://klasma.github.io/Logging_181884/artfynd/A 14306-2025 artfynd.xlsx", "A 14306-2025")</f>
        <v/>
      </c>
      <c r="T38">
        <f>HYPERLINK("https://klasma.github.io/Logging_181884/kartor/A 14306-2025 karta.png", "A 14306-2025")</f>
        <v/>
      </c>
      <c r="V38">
        <f>HYPERLINK("https://klasma.github.io/Logging_181884/klagomål/A 14306-2025 FSC-klagomål.docx", "A 14306-2025")</f>
        <v/>
      </c>
      <c r="W38">
        <f>HYPERLINK("https://klasma.github.io/Logging_181884/klagomålsmail/A 14306-2025 FSC-klagomål mail.docx", "A 14306-2025")</f>
        <v/>
      </c>
      <c r="X38">
        <f>HYPERLINK("https://klasma.github.io/Logging_181884/tillsyn/A 14306-2025 tillsynsbegäran.docx", "A 14306-2025")</f>
        <v/>
      </c>
      <c r="Y38">
        <f>HYPERLINK("https://klasma.github.io/Logging_181884/tillsynsmail/A 14306-2025 tillsynsbegäran mail.docx", "A 14306-2025")</f>
        <v/>
      </c>
      <c r="Z38">
        <f>HYPERLINK("https://klasma.github.io/Logging_181884/fåglar/A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</v>
      </c>
      <c r="C39" s="1" t="n">
        <v>45844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20659-2025 artfynd.xlsx", "A 20659-2025")</f>
        <v/>
      </c>
      <c r="T39">
        <f>HYPERLINK("https://klasma.github.io/Logging_181884/kartor/A 20659-2025 karta.png", "A 20659-2025")</f>
        <v/>
      </c>
      <c r="V39">
        <f>HYPERLINK("https://klasma.github.io/Logging_181884/klagomål/A 20659-2025 FSC-klagomål.docx", "A 20659-2025")</f>
        <v/>
      </c>
      <c r="W39">
        <f>HYPERLINK("https://klasma.github.io/Logging_181884/klagomålsmail/A 20659-2025 FSC-klagomål mail.docx", "A 20659-2025")</f>
        <v/>
      </c>
      <c r="X39">
        <f>HYPERLINK("https://klasma.github.io/Logging_181884/tillsyn/A 20659-2025 tillsynsbegäran.docx", "A 20659-2025")</f>
        <v/>
      </c>
      <c r="Y39">
        <f>HYPERLINK("https://klasma.github.io/Logging_181884/tillsynsmail/A 20659-2025 tillsynsbegäran mail.docx", "A 20659-2025")</f>
        <v/>
      </c>
    </row>
    <row r="40" ht="15" customHeight="1">
      <c r="A40" t="inlineStr">
        <is>
          <t>A 26658-2025</t>
        </is>
      </c>
      <c r="B40" s="1" t="n">
        <v>45810</v>
      </c>
      <c r="C40" s="1" t="n">
        <v>45844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26658-2025 artfynd.xlsx", "A 26658-2025")</f>
        <v/>
      </c>
      <c r="T40">
        <f>HYPERLINK("https://klasma.github.io/Logging_181884/kartor/A 26658-2025 karta.png", "A 26658-2025")</f>
        <v/>
      </c>
      <c r="V40">
        <f>HYPERLINK("https://klasma.github.io/Logging_181884/klagomål/A 26658-2025 FSC-klagomål.docx", "A 26658-2025")</f>
        <v/>
      </c>
      <c r="W40">
        <f>HYPERLINK("https://klasma.github.io/Logging_181884/klagomålsmail/A 26658-2025 FSC-klagomål mail.docx", "A 26658-2025")</f>
        <v/>
      </c>
      <c r="X40">
        <f>HYPERLINK("https://klasma.github.io/Logging_181884/tillsyn/A 26658-2025 tillsynsbegäran.docx", "A 26658-2025")</f>
        <v/>
      </c>
      <c r="Y40">
        <f>HYPERLINK("https://klasma.github.io/Logging_181884/tillsynsmail/A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</v>
      </c>
      <c r="C41" s="1" t="n">
        <v>45844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HYPERLINK("https://klasma.github.io/Logging_181884/artfynd/A 26659-2025 artfynd.xlsx", "A 26659-2025")</f>
        <v/>
      </c>
      <c r="T41">
        <f>HYPERLINK("https://klasma.github.io/Logging_181884/kartor/A 26659-2025 karta.png", "A 26659-2025")</f>
        <v/>
      </c>
      <c r="V41">
        <f>HYPERLINK("https://klasma.github.io/Logging_181884/klagomål/A 26659-2025 FSC-klagomål.docx", "A 26659-2025")</f>
        <v/>
      </c>
      <c r="W41">
        <f>HYPERLINK("https://klasma.github.io/Logging_181884/klagomålsmail/A 26659-2025 FSC-klagomål mail.docx", "A 26659-2025")</f>
        <v/>
      </c>
      <c r="X41">
        <f>HYPERLINK("https://klasma.github.io/Logging_181884/tillsyn/A 26659-2025 tillsynsbegäran.docx", "A 26659-2025")</f>
        <v/>
      </c>
      <c r="Y41">
        <f>HYPERLINK("https://klasma.github.io/Logging_181884/tillsynsmail/A 26659-2025 tillsynsbegäran mail.docx", "A 26659-2025")</f>
        <v/>
      </c>
    </row>
    <row r="42" ht="15" customHeight="1">
      <c r="A42" t="inlineStr">
        <is>
          <t>A 18891-2019</t>
        </is>
      </c>
      <c r="B42" s="1" t="n">
        <v>43563</v>
      </c>
      <c r="C42" s="1" t="n">
        <v>45844</v>
      </c>
      <c r="D42" t="inlineStr">
        <is>
          <t>ÖREBRO LÄN</t>
        </is>
      </c>
      <c r="E42" t="inlineStr">
        <is>
          <t>NORA</t>
        </is>
      </c>
      <c r="F42" t="inlineStr">
        <is>
          <t>Kommuner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19910-2019</t>
        </is>
      </c>
      <c r="B43" s="1" t="n">
        <v>43567</v>
      </c>
      <c r="C43" s="1" t="n">
        <v>45844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22333-2019</t>
        </is>
      </c>
      <c r="B44" s="1" t="n">
        <v>43586</v>
      </c>
      <c r="C44" s="1" t="n">
        <v>45844</v>
      </c>
      <c r="D44" t="inlineStr">
        <is>
          <t>ÖREBRO LÄN</t>
        </is>
      </c>
      <c r="E44" t="inlineStr">
        <is>
          <t>NORA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22854-2019</t>
        </is>
      </c>
      <c r="B45" s="1" t="n">
        <v>43591</v>
      </c>
      <c r="C45" s="1" t="n">
        <v>45844</v>
      </c>
      <c r="D45" t="inlineStr">
        <is>
          <t>ÖREBRO LÄN</t>
        </is>
      </c>
      <c r="E45" t="inlineStr">
        <is>
          <t>NORA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26226-2019</t>
        </is>
      </c>
      <c r="B46" s="1" t="n">
        <v>43609</v>
      </c>
      <c r="C46" s="1" t="n">
        <v>45844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30147-2019</t>
        </is>
      </c>
      <c r="B47" s="1" t="n">
        <v>43634</v>
      </c>
      <c r="C47" s="1" t="n">
        <v>45844</v>
      </c>
      <c r="D47" t="inlineStr">
        <is>
          <t>ÖREBRO LÄN</t>
        </is>
      </c>
      <c r="E47" t="inlineStr">
        <is>
          <t>NORA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33875-2019</t>
        </is>
      </c>
      <c r="B48" s="1" t="n">
        <v>43653</v>
      </c>
      <c r="C48" s="1" t="n">
        <v>45844</v>
      </c>
      <c r="D48" t="inlineStr">
        <is>
          <t>ÖREBRO LÄN</t>
        </is>
      </c>
      <c r="E48" t="inlineStr">
        <is>
          <t>NORA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36680-2019</t>
        </is>
      </c>
      <c r="B49" s="1" t="n">
        <v>43670</v>
      </c>
      <c r="C49" s="1" t="n">
        <v>45844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36564-2019</t>
        </is>
      </c>
      <c r="B50" s="1" t="n">
        <v>43671</v>
      </c>
      <c r="C50" s="1" t="n">
        <v>45844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37406-2019</t>
        </is>
      </c>
      <c r="B51" s="1" t="n">
        <v>43678</v>
      </c>
      <c r="C51" s="1" t="n">
        <v>45844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39679-2019</t>
        </is>
      </c>
      <c r="B52" s="1" t="n">
        <v>43691</v>
      </c>
      <c r="C52" s="1" t="n">
        <v>45844</v>
      </c>
      <c r="D52" t="inlineStr">
        <is>
          <t>ÖREBRO LÄN</t>
        </is>
      </c>
      <c r="E52" t="inlineStr">
        <is>
          <t>NORA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45909-2019</t>
        </is>
      </c>
      <c r="B53" s="1" t="n">
        <v>43717</v>
      </c>
      <c r="C53" s="1" t="n">
        <v>45844</v>
      </c>
      <c r="D53" t="inlineStr">
        <is>
          <t>ÖREBRO LÄN</t>
        </is>
      </c>
      <c r="E53" t="inlineStr">
        <is>
          <t>NORA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52402-2019</t>
        </is>
      </c>
      <c r="B54" s="1" t="n">
        <v>43745</v>
      </c>
      <c r="C54" s="1" t="n">
        <v>45844</v>
      </c>
      <c r="D54" t="inlineStr">
        <is>
          <t>ÖREBRO LÄN</t>
        </is>
      </c>
      <c r="E54" t="inlineStr">
        <is>
          <t>NORA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53666-2019</t>
        </is>
      </c>
      <c r="B55" s="1" t="n">
        <v>43749</v>
      </c>
      <c r="C55" s="1" t="n">
        <v>45844</v>
      </c>
      <c r="D55" t="inlineStr">
        <is>
          <t>ÖREBRO LÄN</t>
        </is>
      </c>
      <c r="E55" t="inlineStr">
        <is>
          <t>NORA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56061-2019</t>
        </is>
      </c>
      <c r="B56" s="1" t="n">
        <v>43759</v>
      </c>
      <c r="C56" s="1" t="n">
        <v>45844</v>
      </c>
      <c r="D56" t="inlineStr">
        <is>
          <t>ÖREBRO LÄN</t>
        </is>
      </c>
      <c r="E56" t="inlineStr">
        <is>
          <t>NORA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56463-2019</t>
        </is>
      </c>
      <c r="B57" s="1" t="n">
        <v>43762</v>
      </c>
      <c r="C57" s="1" t="n">
        <v>45844</v>
      </c>
      <c r="D57" t="inlineStr">
        <is>
          <t>ÖREBRO LÄN</t>
        </is>
      </c>
      <c r="E57" t="inlineStr">
        <is>
          <t>NORA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65138-2019</t>
        </is>
      </c>
      <c r="B58" s="1" t="n">
        <v>43802</v>
      </c>
      <c r="C58" s="1" t="n">
        <v>45844</v>
      </c>
      <c r="D58" t="inlineStr">
        <is>
          <t>ÖREBRO LÄN</t>
        </is>
      </c>
      <c r="E58" t="inlineStr">
        <is>
          <t>NORA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2137-2020</t>
        </is>
      </c>
      <c r="B59" s="1" t="n">
        <v>43839</v>
      </c>
      <c r="C59" s="1" t="n">
        <v>45844</v>
      </c>
      <c r="D59" t="inlineStr">
        <is>
          <t>ÖREBRO LÄN</t>
        </is>
      </c>
      <c r="E59" t="inlineStr">
        <is>
          <t>NORA</t>
        </is>
      </c>
      <c r="F59" t="inlineStr">
        <is>
          <t>Övriga Aktiebolag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3999-2020</t>
        </is>
      </c>
      <c r="B60" s="1" t="n">
        <v>43856</v>
      </c>
      <c r="C60" s="1" t="n">
        <v>45844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7414-2020</t>
        </is>
      </c>
      <c r="B61" s="1" t="n">
        <v>43871</v>
      </c>
      <c r="C61" s="1" t="n">
        <v>45844</v>
      </c>
      <c r="D61" t="inlineStr">
        <is>
          <t>ÖREBRO LÄN</t>
        </is>
      </c>
      <c r="E61" t="inlineStr">
        <is>
          <t>NORA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10544-2020</t>
        </is>
      </c>
      <c r="B62" s="1" t="n">
        <v>43887</v>
      </c>
      <c r="C62" s="1" t="n">
        <v>45844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10660-2020</t>
        </is>
      </c>
      <c r="B63" s="1" t="n">
        <v>43888</v>
      </c>
      <c r="C63" s="1" t="n">
        <v>45844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11639-2020</t>
        </is>
      </c>
      <c r="B64" s="1" t="n">
        <v>43893</v>
      </c>
      <c r="C64" s="1" t="n">
        <v>45844</v>
      </c>
      <c r="D64" t="inlineStr">
        <is>
          <t>ÖREBRO LÄN</t>
        </is>
      </c>
      <c r="E64" t="inlineStr">
        <is>
          <t>NORA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11652-2020</t>
        </is>
      </c>
      <c r="B65" s="1" t="n">
        <v>43893</v>
      </c>
      <c r="C65" s="1" t="n">
        <v>45844</v>
      </c>
      <c r="D65" t="inlineStr">
        <is>
          <t>ÖREBRO LÄN</t>
        </is>
      </c>
      <c r="E65" t="inlineStr">
        <is>
          <t>NORA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11975-2020</t>
        </is>
      </c>
      <c r="B66" s="1" t="n">
        <v>43894</v>
      </c>
      <c r="C66" s="1" t="n">
        <v>45844</v>
      </c>
      <c r="D66" t="inlineStr">
        <is>
          <t>ÖREBRO LÄN</t>
        </is>
      </c>
      <c r="E66" t="inlineStr">
        <is>
          <t>NORA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13745-2020</t>
        </is>
      </c>
      <c r="B67" s="1" t="n">
        <v>43903</v>
      </c>
      <c r="C67" s="1" t="n">
        <v>45844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14196-2020</t>
        </is>
      </c>
      <c r="B68" s="1" t="n">
        <v>43907</v>
      </c>
      <c r="C68" s="1" t="n">
        <v>45844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15152-2020</t>
        </is>
      </c>
      <c r="B69" s="1" t="n">
        <v>43912</v>
      </c>
      <c r="C69" s="1" t="n">
        <v>45844</v>
      </c>
      <c r="D69" t="inlineStr">
        <is>
          <t>ÖREBRO LÄN</t>
        </is>
      </c>
      <c r="E69" t="inlineStr">
        <is>
          <t>NORA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15447-2020</t>
        </is>
      </c>
      <c r="B70" s="1" t="n">
        <v>43914</v>
      </c>
      <c r="C70" s="1" t="n">
        <v>45844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15617-2020</t>
        </is>
      </c>
      <c r="B71" s="1" t="n">
        <v>43914</v>
      </c>
      <c r="C71" s="1" t="n">
        <v>45844</v>
      </c>
      <c r="D71" t="inlineStr">
        <is>
          <t>ÖREBRO LÄN</t>
        </is>
      </c>
      <c r="E71" t="inlineStr">
        <is>
          <t>NORA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16319-2020</t>
        </is>
      </c>
      <c r="B72" s="1" t="n">
        <v>43917</v>
      </c>
      <c r="C72" s="1" t="n">
        <v>45844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17793-2020</t>
        </is>
      </c>
      <c r="B73" s="1" t="n">
        <v>43924</v>
      </c>
      <c r="C73" s="1" t="n">
        <v>45844</v>
      </c>
      <c r="D73" t="inlineStr">
        <is>
          <t>ÖREBRO LÄN</t>
        </is>
      </c>
      <c r="E73" t="inlineStr">
        <is>
          <t>NORA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18841-2020</t>
        </is>
      </c>
      <c r="B74" s="1" t="n">
        <v>43935</v>
      </c>
      <c r="C74" s="1" t="n">
        <v>45844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18975-2020</t>
        </is>
      </c>
      <c r="B75" s="1" t="n">
        <v>43935</v>
      </c>
      <c r="C75" s="1" t="n">
        <v>45844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19038-2020</t>
        </is>
      </c>
      <c r="B76" s="1" t="n">
        <v>43936</v>
      </c>
      <c r="C76" s="1" t="n">
        <v>45844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19612-2020</t>
        </is>
      </c>
      <c r="B77" s="1" t="n">
        <v>43941</v>
      </c>
      <c r="C77" s="1" t="n">
        <v>45844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22349-2020</t>
        </is>
      </c>
      <c r="B78" s="1" t="n">
        <v>43957</v>
      </c>
      <c r="C78" s="1" t="n">
        <v>45844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22353-2020</t>
        </is>
      </c>
      <c r="B79" s="1" t="n">
        <v>43957</v>
      </c>
      <c r="C79" s="1" t="n">
        <v>45844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24329-2020</t>
        </is>
      </c>
      <c r="B80" s="1" t="n">
        <v>43976</v>
      </c>
      <c r="C80" s="1" t="n">
        <v>45844</v>
      </c>
      <c r="D80" t="inlineStr">
        <is>
          <t>ÖREBRO LÄN</t>
        </is>
      </c>
      <c r="E80" t="inlineStr">
        <is>
          <t>NORA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26282-2020</t>
        </is>
      </c>
      <c r="B81" s="1" t="n">
        <v>43986</v>
      </c>
      <c r="C81" s="1" t="n">
        <v>45844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27586-2020</t>
        </is>
      </c>
      <c r="B82" s="1" t="n">
        <v>43993</v>
      </c>
      <c r="C82" s="1" t="n">
        <v>45844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27587-2020</t>
        </is>
      </c>
      <c r="B83" s="1" t="n">
        <v>43993</v>
      </c>
      <c r="C83" s="1" t="n">
        <v>45844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29682-2020</t>
        </is>
      </c>
      <c r="B84" s="1" t="n">
        <v>44005</v>
      </c>
      <c r="C84" s="1" t="n">
        <v>45844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29746-2020</t>
        </is>
      </c>
      <c r="B85" s="1" t="n">
        <v>44005</v>
      </c>
      <c r="C85" s="1" t="n">
        <v>45844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31184-2020</t>
        </is>
      </c>
      <c r="B86" s="1" t="n">
        <v>44012</v>
      </c>
      <c r="C86" s="1" t="n">
        <v>45844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34553-2020</t>
        </is>
      </c>
      <c r="B87" s="1" t="n">
        <v>44032</v>
      </c>
      <c r="C87" s="1" t="n">
        <v>45844</v>
      </c>
      <c r="D87" t="inlineStr">
        <is>
          <t>ÖREBRO LÄN</t>
        </is>
      </c>
      <c r="E87" t="inlineStr">
        <is>
          <t>NORA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36797-2020</t>
        </is>
      </c>
      <c r="B88" s="1" t="n">
        <v>44053</v>
      </c>
      <c r="C88" s="1" t="n">
        <v>45844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37675-2020</t>
        </is>
      </c>
      <c r="B89" s="1" t="n">
        <v>44056</v>
      </c>
      <c r="C89" s="1" t="n">
        <v>45844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38303-2020</t>
        </is>
      </c>
      <c r="B90" s="1" t="n">
        <v>44060</v>
      </c>
      <c r="C90" s="1" t="n">
        <v>45844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38284-2020</t>
        </is>
      </c>
      <c r="B91" s="1" t="n">
        <v>44060</v>
      </c>
      <c r="C91" s="1" t="n">
        <v>45844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38707-2020</t>
        </is>
      </c>
      <c r="B92" s="1" t="n">
        <v>44061</v>
      </c>
      <c r="C92" s="1" t="n">
        <v>45844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41089-2020</t>
        </is>
      </c>
      <c r="B93" s="1" t="n">
        <v>44071</v>
      </c>
      <c r="C93" s="1" t="n">
        <v>45844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43126-2020</t>
        </is>
      </c>
      <c r="B94" s="1" t="n">
        <v>44079</v>
      </c>
      <c r="C94" s="1" t="n">
        <v>45844</v>
      </c>
      <c r="D94" t="inlineStr">
        <is>
          <t>ÖREBRO LÄN</t>
        </is>
      </c>
      <c r="E94" t="inlineStr">
        <is>
          <t>NORA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45038-2020</t>
        </is>
      </c>
      <c r="B95" s="1" t="n">
        <v>44088</v>
      </c>
      <c r="C95" s="1" t="n">
        <v>45844</v>
      </c>
      <c r="D95" t="inlineStr">
        <is>
          <t>ÖREBRO LÄN</t>
        </is>
      </c>
      <c r="E95" t="inlineStr">
        <is>
          <t>NORA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45844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49732-2020</t>
        </is>
      </c>
      <c r="B97" s="1" t="n">
        <v>44106</v>
      </c>
      <c r="C97" s="1" t="n">
        <v>45844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49781-2020</t>
        </is>
      </c>
      <c r="B98" s="1" t="n">
        <v>44106</v>
      </c>
      <c r="C98" s="1" t="n">
        <v>45844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49724-2020</t>
        </is>
      </c>
      <c r="B99" s="1" t="n">
        <v>44106</v>
      </c>
      <c r="C99" s="1" t="n">
        <v>45844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49775-2020</t>
        </is>
      </c>
      <c r="B100" s="1" t="n">
        <v>44106</v>
      </c>
      <c r="C100" s="1" t="n">
        <v>45844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49878-2020</t>
        </is>
      </c>
      <c r="B101" s="1" t="n">
        <v>44107</v>
      </c>
      <c r="C101" s="1" t="n">
        <v>45844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50309-2020</t>
        </is>
      </c>
      <c r="B102" s="1" t="n">
        <v>44110</v>
      </c>
      <c r="C102" s="1" t="n">
        <v>45844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50588-2020</t>
        </is>
      </c>
      <c r="B103" s="1" t="n">
        <v>44110</v>
      </c>
      <c r="C103" s="1" t="n">
        <v>45844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50720-2020</t>
        </is>
      </c>
      <c r="B104" s="1" t="n">
        <v>44111</v>
      </c>
      <c r="C104" s="1" t="n">
        <v>45844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54502-2020</t>
        </is>
      </c>
      <c r="B105" s="1" t="n">
        <v>44125</v>
      </c>
      <c r="C105" s="1" t="n">
        <v>45844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55870-2020</t>
        </is>
      </c>
      <c r="B106" s="1" t="n">
        <v>44132</v>
      </c>
      <c r="C106" s="1" t="n">
        <v>45844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57438-2020</t>
        </is>
      </c>
      <c r="B107" s="1" t="n">
        <v>44139</v>
      </c>
      <c r="C107" s="1" t="n">
        <v>45844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60476-2020</t>
        </is>
      </c>
      <c r="B108" s="1" t="n">
        <v>44153</v>
      </c>
      <c r="C108" s="1" t="n">
        <v>45844</v>
      </c>
      <c r="D108" t="inlineStr">
        <is>
          <t>ÖREBRO LÄN</t>
        </is>
      </c>
      <c r="E108" t="inlineStr">
        <is>
          <t>NORA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62161-2020</t>
        </is>
      </c>
      <c r="B109" s="1" t="n">
        <v>44158</v>
      </c>
      <c r="C109" s="1" t="n">
        <v>45844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64933-2020</t>
        </is>
      </c>
      <c r="B110" s="1" t="n">
        <v>44172</v>
      </c>
      <c r="C110" s="1" t="n">
        <v>45844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65028-2020</t>
        </is>
      </c>
      <c r="B111" s="1" t="n">
        <v>44172</v>
      </c>
      <c r="C111" s="1" t="n">
        <v>45844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65510-2020</t>
        </is>
      </c>
      <c r="B112" s="1" t="n">
        <v>44173</v>
      </c>
      <c r="C112" s="1" t="n">
        <v>45844</v>
      </c>
      <c r="D112" t="inlineStr">
        <is>
          <t>ÖREBRO LÄN</t>
        </is>
      </c>
      <c r="E112" t="inlineStr">
        <is>
          <t>NORA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65942-2020</t>
        </is>
      </c>
      <c r="B113" s="1" t="n">
        <v>44173</v>
      </c>
      <c r="C113" s="1" t="n">
        <v>45844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67425-2020</t>
        </is>
      </c>
      <c r="B114" s="1" t="n">
        <v>44181</v>
      </c>
      <c r="C114" s="1" t="n">
        <v>45844</v>
      </c>
      <c r="D114" t="inlineStr">
        <is>
          <t>ÖREBRO LÄN</t>
        </is>
      </c>
      <c r="E114" t="inlineStr">
        <is>
          <t>NORA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251-2021</t>
        </is>
      </c>
      <c r="B115" s="1" t="n">
        <v>44200</v>
      </c>
      <c r="C115" s="1" t="n">
        <v>45844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2304-2021</t>
        </is>
      </c>
      <c r="B116" s="1" t="n">
        <v>44213</v>
      </c>
      <c r="C116" s="1" t="n">
        <v>45844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6179-2021</t>
        </is>
      </c>
      <c r="B117" s="1" t="n">
        <v>44232</v>
      </c>
      <c r="C117" s="1" t="n">
        <v>45844</v>
      </c>
      <c r="D117" t="inlineStr">
        <is>
          <t>ÖREBRO LÄN</t>
        </is>
      </c>
      <c r="E117" t="inlineStr">
        <is>
          <t>NORA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6181-2021</t>
        </is>
      </c>
      <c r="B118" s="1" t="n">
        <v>44232</v>
      </c>
      <c r="C118" s="1" t="n">
        <v>45844</v>
      </c>
      <c r="D118" t="inlineStr">
        <is>
          <t>ÖREBRO LÄN</t>
        </is>
      </c>
      <c r="E118" t="inlineStr">
        <is>
          <t>NORA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6270-2021</t>
        </is>
      </c>
      <c r="B119" s="1" t="n">
        <v>44235</v>
      </c>
      <c r="C119" s="1" t="n">
        <v>45844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7147-2021</t>
        </is>
      </c>
      <c r="B120" s="1" t="n">
        <v>44238</v>
      </c>
      <c r="C120" s="1" t="n">
        <v>45844</v>
      </c>
      <c r="D120" t="inlineStr">
        <is>
          <t>ÖREBRO LÄN</t>
        </is>
      </c>
      <c r="E120" t="inlineStr">
        <is>
          <t>NORA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45844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14025-2021</t>
        </is>
      </c>
      <c r="B122" s="1" t="n">
        <v>44277</v>
      </c>
      <c r="C122" s="1" t="n">
        <v>45844</v>
      </c>
      <c r="D122" t="inlineStr">
        <is>
          <t>ÖREBRO LÄN</t>
        </is>
      </c>
      <c r="E122" t="inlineStr">
        <is>
          <t>NORA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15358-2021</t>
        </is>
      </c>
      <c r="B123" s="1" t="n">
        <v>44284</v>
      </c>
      <c r="C123" s="1" t="n">
        <v>45844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16326-2021</t>
        </is>
      </c>
      <c r="B124" s="1" t="n">
        <v>44292</v>
      </c>
      <c r="C124" s="1" t="n">
        <v>45844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18134-2021</t>
        </is>
      </c>
      <c r="B125" s="1" t="n">
        <v>44302</v>
      </c>
      <c r="C125" s="1" t="n">
        <v>45844</v>
      </c>
      <c r="D125" t="inlineStr">
        <is>
          <t>ÖREBRO LÄN</t>
        </is>
      </c>
      <c r="E125" t="inlineStr">
        <is>
          <t>NORA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19166-2021</t>
        </is>
      </c>
      <c r="B126" s="1" t="n">
        <v>44308</v>
      </c>
      <c r="C126" s="1" t="n">
        <v>45844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</v>
      </c>
      <c r="C127" s="1" t="n">
        <v>45844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26278-2021</t>
        </is>
      </c>
      <c r="B128" s="1" t="n">
        <v>44347</v>
      </c>
      <c r="C128" s="1" t="n">
        <v>45844</v>
      </c>
      <c r="D128" t="inlineStr">
        <is>
          <t>ÖREBRO LÄN</t>
        </is>
      </c>
      <c r="E128" t="inlineStr">
        <is>
          <t>NORA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27648-2021</t>
        </is>
      </c>
      <c r="B129" s="1" t="n">
        <v>44354</v>
      </c>
      <c r="C129" s="1" t="n">
        <v>45844</v>
      </c>
      <c r="D129" t="inlineStr">
        <is>
          <t>ÖREBRO LÄN</t>
        </is>
      </c>
      <c r="E129" t="inlineStr">
        <is>
          <t>NORA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29839-2021</t>
        </is>
      </c>
      <c r="B130" s="1" t="n">
        <v>44362</v>
      </c>
      <c r="C130" s="1" t="n">
        <v>45844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32567-2021</t>
        </is>
      </c>
      <c r="B131" s="1" t="n">
        <v>44375</v>
      </c>
      <c r="C131" s="1" t="n">
        <v>45844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32604-2021</t>
        </is>
      </c>
      <c r="B132" s="1" t="n">
        <v>44375</v>
      </c>
      <c r="C132" s="1" t="n">
        <v>45844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34928-2021</t>
        </is>
      </c>
      <c r="B133" s="1" t="n">
        <v>44383</v>
      </c>
      <c r="C133" s="1" t="n">
        <v>45844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34925-2021</t>
        </is>
      </c>
      <c r="B134" s="1" t="n">
        <v>44383</v>
      </c>
      <c r="C134" s="1" t="n">
        <v>45844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35330-2021</t>
        </is>
      </c>
      <c r="B135" s="1" t="n">
        <v>44384</v>
      </c>
      <c r="C135" s="1" t="n">
        <v>45844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35605-2021</t>
        </is>
      </c>
      <c r="B136" s="1" t="n">
        <v>44386</v>
      </c>
      <c r="C136" s="1" t="n">
        <v>45844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</v>
      </c>
      <c r="C137" s="1" t="n">
        <v>45844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38736-2021</t>
        </is>
      </c>
      <c r="B138" s="1" t="n">
        <v>44410</v>
      </c>
      <c r="C138" s="1" t="n">
        <v>45844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38798-2021</t>
        </is>
      </c>
      <c r="B139" s="1" t="n">
        <v>44410</v>
      </c>
      <c r="C139" s="1" t="n">
        <v>45844</v>
      </c>
      <c r="D139" t="inlineStr">
        <is>
          <t>ÖREBRO LÄN</t>
        </is>
      </c>
      <c r="E139" t="inlineStr">
        <is>
          <t>NORA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45844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40338-2021</t>
        </is>
      </c>
      <c r="B141" s="1" t="n">
        <v>44419</v>
      </c>
      <c r="C141" s="1" t="n">
        <v>45844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40643-2021</t>
        </is>
      </c>
      <c r="B142" s="1" t="n">
        <v>44420</v>
      </c>
      <c r="C142" s="1" t="n">
        <v>45844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40710-2021</t>
        </is>
      </c>
      <c r="B143" s="1" t="n">
        <v>44420</v>
      </c>
      <c r="C143" s="1" t="n">
        <v>45844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40646-2021</t>
        </is>
      </c>
      <c r="B144" s="1" t="n">
        <v>44420</v>
      </c>
      <c r="C144" s="1" t="n">
        <v>45844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41676-2021</t>
        </is>
      </c>
      <c r="B145" s="1" t="n">
        <v>44425</v>
      </c>
      <c r="C145" s="1" t="n">
        <v>45844</v>
      </c>
      <c r="D145" t="inlineStr">
        <is>
          <t>ÖREBRO LÄN</t>
        </is>
      </c>
      <c r="E145" t="inlineStr">
        <is>
          <t>NORA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45844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42741-2021</t>
        </is>
      </c>
      <c r="B147" s="1" t="n">
        <v>44428</v>
      </c>
      <c r="C147" s="1" t="n">
        <v>45844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42743-2021</t>
        </is>
      </c>
      <c r="B148" s="1" t="n">
        <v>44428</v>
      </c>
      <c r="C148" s="1" t="n">
        <v>45844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42740-2021</t>
        </is>
      </c>
      <c r="B149" s="1" t="n">
        <v>44428</v>
      </c>
      <c r="C149" s="1" t="n">
        <v>45844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42899-2021</t>
        </is>
      </c>
      <c r="B150" s="1" t="n">
        <v>44431</v>
      </c>
      <c r="C150" s="1" t="n">
        <v>45844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45844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45844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47794-2021</t>
        </is>
      </c>
      <c r="B153" s="1" t="n">
        <v>44448</v>
      </c>
      <c r="C153" s="1" t="n">
        <v>45844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47788-2021</t>
        </is>
      </c>
      <c r="B154" s="1" t="n">
        <v>44448</v>
      </c>
      <c r="C154" s="1" t="n">
        <v>45844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48105-2021</t>
        </is>
      </c>
      <c r="B155" s="1" t="n">
        <v>44449</v>
      </c>
      <c r="C155" s="1" t="n">
        <v>45844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48961-2021</t>
        </is>
      </c>
      <c r="B156" s="1" t="n">
        <v>44453</v>
      </c>
      <c r="C156" s="1" t="n">
        <v>45844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48960-2021</t>
        </is>
      </c>
      <c r="B157" s="1" t="n">
        <v>44453</v>
      </c>
      <c r="C157" s="1" t="n">
        <v>45844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49135-2021</t>
        </is>
      </c>
      <c r="B158" s="1" t="n">
        <v>44453</v>
      </c>
      <c r="C158" s="1" t="n">
        <v>45844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50071-2021</t>
        </is>
      </c>
      <c r="B159" s="1" t="n">
        <v>44456</v>
      </c>
      <c r="C159" s="1" t="n">
        <v>45844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54717-2021</t>
        </is>
      </c>
      <c r="B160" s="1" t="n">
        <v>44473</v>
      </c>
      <c r="C160" s="1" t="n">
        <v>45844</v>
      </c>
      <c r="D160" t="inlineStr">
        <is>
          <t>ÖREBRO LÄN</t>
        </is>
      </c>
      <c r="E160" t="inlineStr">
        <is>
          <t>NORA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55368-2021</t>
        </is>
      </c>
      <c r="B161" s="1" t="n">
        <v>44475</v>
      </c>
      <c r="C161" s="1" t="n">
        <v>45844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55867-2021</t>
        </is>
      </c>
      <c r="B162" s="1" t="n">
        <v>44476</v>
      </c>
      <c r="C162" s="1" t="n">
        <v>45844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55863-2021</t>
        </is>
      </c>
      <c r="B163" s="1" t="n">
        <v>44476</v>
      </c>
      <c r="C163" s="1" t="n">
        <v>45844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56871-2021</t>
        </is>
      </c>
      <c r="B164" s="1" t="n">
        <v>44481</v>
      </c>
      <c r="C164" s="1" t="n">
        <v>45844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59590-2021</t>
        </is>
      </c>
      <c r="B165" s="1" t="n">
        <v>44491</v>
      </c>
      <c r="C165" s="1" t="n">
        <v>45844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59606-2021</t>
        </is>
      </c>
      <c r="B166" s="1" t="n">
        <v>44491</v>
      </c>
      <c r="C166" s="1" t="n">
        <v>45844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45844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59942-2021</t>
        </is>
      </c>
      <c r="B168" s="1" t="n">
        <v>44494</v>
      </c>
      <c r="C168" s="1" t="n">
        <v>45844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60049-2021</t>
        </is>
      </c>
      <c r="B169" s="1" t="n">
        <v>44495</v>
      </c>
      <c r="C169" s="1" t="n">
        <v>45844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45844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66672-2021</t>
        </is>
      </c>
      <c r="B171" s="1" t="n">
        <v>44519</v>
      </c>
      <c r="C171" s="1" t="n">
        <v>45844</v>
      </c>
      <c r="D171" t="inlineStr">
        <is>
          <t>ÖREBRO LÄN</t>
        </is>
      </c>
      <c r="E171" t="inlineStr">
        <is>
          <t>NORA</t>
        </is>
      </c>
      <c r="F171" t="inlineStr">
        <is>
          <t>Kommuner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67201-2021</t>
        </is>
      </c>
      <c r="B172" s="1" t="n">
        <v>44523</v>
      </c>
      <c r="C172" s="1" t="n">
        <v>45844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67298-2021</t>
        </is>
      </c>
      <c r="B173" s="1" t="n">
        <v>44523</v>
      </c>
      <c r="C173" s="1" t="n">
        <v>45844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68610-2021</t>
        </is>
      </c>
      <c r="B174" s="1" t="n">
        <v>44529</v>
      </c>
      <c r="C174" s="1" t="n">
        <v>45844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68890-2021</t>
        </is>
      </c>
      <c r="B175" s="1" t="n">
        <v>44530</v>
      </c>
      <c r="C175" s="1" t="n">
        <v>45844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68887-2021</t>
        </is>
      </c>
      <c r="B176" s="1" t="n">
        <v>44530</v>
      </c>
      <c r="C176" s="1" t="n">
        <v>45844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69731-2021</t>
        </is>
      </c>
      <c r="B177" s="1" t="n">
        <v>44532</v>
      </c>
      <c r="C177" s="1" t="n">
        <v>45844</v>
      </c>
      <c r="D177" t="inlineStr">
        <is>
          <t>ÖREBRO LÄN</t>
        </is>
      </c>
      <c r="E177" t="inlineStr">
        <is>
          <t>NORA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70138-2021</t>
        </is>
      </c>
      <c r="B178" s="1" t="n">
        <v>44533</v>
      </c>
      <c r="C178" s="1" t="n">
        <v>45844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70200-2021</t>
        </is>
      </c>
      <c r="B179" s="1" t="n">
        <v>44534</v>
      </c>
      <c r="C179" s="1" t="n">
        <v>45844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70595-2021</t>
        </is>
      </c>
      <c r="B180" s="1" t="n">
        <v>44537</v>
      </c>
      <c r="C180" s="1" t="n">
        <v>45844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73009-2021</t>
        </is>
      </c>
      <c r="B181" s="1" t="n">
        <v>44550</v>
      </c>
      <c r="C181" s="1" t="n">
        <v>45844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74451-2021</t>
        </is>
      </c>
      <c r="B182" s="1" t="n">
        <v>44560</v>
      </c>
      <c r="C182" s="1" t="n">
        <v>45844</v>
      </c>
      <c r="D182" t="inlineStr">
        <is>
          <t>ÖREBRO LÄN</t>
        </is>
      </c>
      <c r="E182" t="inlineStr">
        <is>
          <t>NORA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5049-2022</t>
        </is>
      </c>
      <c r="B183" s="1" t="n">
        <v>44593</v>
      </c>
      <c r="C183" s="1" t="n">
        <v>45844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5039-2022</t>
        </is>
      </c>
      <c r="B184" s="1" t="n">
        <v>44593</v>
      </c>
      <c r="C184" s="1" t="n">
        <v>45844</v>
      </c>
      <c r="D184" t="inlineStr">
        <is>
          <t>ÖREBRO LÄN</t>
        </is>
      </c>
      <c r="E184" t="inlineStr">
        <is>
          <t>NORA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5181-2022</t>
        </is>
      </c>
      <c r="B185" s="1" t="n">
        <v>44593</v>
      </c>
      <c r="C185" s="1" t="n">
        <v>45844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45844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6245-2022</t>
        </is>
      </c>
      <c r="B187" s="1" t="n">
        <v>44600</v>
      </c>
      <c r="C187" s="1" t="n">
        <v>45844</v>
      </c>
      <c r="D187" t="inlineStr">
        <is>
          <t>ÖREBRO LÄN</t>
        </is>
      </c>
      <c r="E187" t="inlineStr">
        <is>
          <t>NORA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7413-2022</t>
        </is>
      </c>
      <c r="B188" s="1" t="n">
        <v>44606</v>
      </c>
      <c r="C188" s="1" t="n">
        <v>45844</v>
      </c>
      <c r="D188" t="inlineStr">
        <is>
          <t>ÖREBRO LÄN</t>
        </is>
      </c>
      <c r="E188" t="inlineStr">
        <is>
          <t>NORA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8587-2022</t>
        </is>
      </c>
      <c r="B189" s="1" t="n">
        <v>44613</v>
      </c>
      <c r="C189" s="1" t="n">
        <v>45844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8590-2022</t>
        </is>
      </c>
      <c r="B190" s="1" t="n">
        <v>44613</v>
      </c>
      <c r="C190" s="1" t="n">
        <v>45844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8589-2022</t>
        </is>
      </c>
      <c r="B191" s="1" t="n">
        <v>44613</v>
      </c>
      <c r="C191" s="1" t="n">
        <v>45844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9137-2022</t>
        </is>
      </c>
      <c r="B192" s="1" t="n">
        <v>44615</v>
      </c>
      <c r="C192" s="1" t="n">
        <v>45844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</v>
      </c>
      <c r="C193" s="1" t="n">
        <v>45844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11631-2022</t>
        </is>
      </c>
      <c r="B194" s="1" t="n">
        <v>44631</v>
      </c>
      <c r="C194" s="1" t="n">
        <v>45844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11632-2022</t>
        </is>
      </c>
      <c r="B195" s="1" t="n">
        <v>44631</v>
      </c>
      <c r="C195" s="1" t="n">
        <v>45844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13493-2022</t>
        </is>
      </c>
      <c r="B196" s="1" t="n">
        <v>44647</v>
      </c>
      <c r="C196" s="1" t="n">
        <v>45844</v>
      </c>
      <c r="D196" t="inlineStr">
        <is>
          <t>ÖREBRO LÄN</t>
        </is>
      </c>
      <c r="E196" t="inlineStr">
        <is>
          <t>NORA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</v>
      </c>
      <c r="C197" s="1" t="n">
        <v>45844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17770-2022</t>
        </is>
      </c>
      <c r="B198" s="1" t="n">
        <v>44682</v>
      </c>
      <c r="C198" s="1" t="n">
        <v>45844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18636-2022</t>
        </is>
      </c>
      <c r="B199" s="1" t="n">
        <v>44687</v>
      </c>
      <c r="C199" s="1" t="n">
        <v>45844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19183-2022</t>
        </is>
      </c>
      <c r="B200" s="1" t="n">
        <v>44691</v>
      </c>
      <c r="C200" s="1" t="n">
        <v>45844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21695-2022</t>
        </is>
      </c>
      <c r="B201" s="1" t="n">
        <v>44707</v>
      </c>
      <c r="C201" s="1" t="n">
        <v>45844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21696-2022</t>
        </is>
      </c>
      <c r="B202" s="1" t="n">
        <v>44707</v>
      </c>
      <c r="C202" s="1" t="n">
        <v>45844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22650-2022</t>
        </is>
      </c>
      <c r="B203" s="1" t="n">
        <v>44714</v>
      </c>
      <c r="C203" s="1" t="n">
        <v>45844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23535-2022</t>
        </is>
      </c>
      <c r="B204" s="1" t="n">
        <v>44721</v>
      </c>
      <c r="C204" s="1" t="n">
        <v>45844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25160-2022</t>
        </is>
      </c>
      <c r="B205" s="1" t="n">
        <v>44729</v>
      </c>
      <c r="C205" s="1" t="n">
        <v>45844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25132-2022</t>
        </is>
      </c>
      <c r="B206" s="1" t="n">
        <v>44729</v>
      </c>
      <c r="C206" s="1" t="n">
        <v>45844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26314-2022</t>
        </is>
      </c>
      <c r="B207" s="1" t="n">
        <v>44735</v>
      </c>
      <c r="C207" s="1" t="n">
        <v>45844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26329-2022</t>
        </is>
      </c>
      <c r="B208" s="1" t="n">
        <v>44735</v>
      </c>
      <c r="C208" s="1" t="n">
        <v>45844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26326-2022</t>
        </is>
      </c>
      <c r="B209" s="1" t="n">
        <v>44735</v>
      </c>
      <c r="C209" s="1" t="n">
        <v>45844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26320-2022</t>
        </is>
      </c>
      <c r="B210" s="1" t="n">
        <v>44735</v>
      </c>
      <c r="C210" s="1" t="n">
        <v>45844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26874-2022</t>
        </is>
      </c>
      <c r="B211" s="1" t="n">
        <v>44740</v>
      </c>
      <c r="C211" s="1" t="n">
        <v>45844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26870-2022</t>
        </is>
      </c>
      <c r="B212" s="1" t="n">
        <v>44740</v>
      </c>
      <c r="C212" s="1" t="n">
        <v>45844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45844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27618-2022</t>
        </is>
      </c>
      <c r="B214" s="1" t="n">
        <v>44743</v>
      </c>
      <c r="C214" s="1" t="n">
        <v>45844</v>
      </c>
      <c r="D214" t="inlineStr">
        <is>
          <t>ÖREBRO LÄN</t>
        </is>
      </c>
      <c r="E214" t="inlineStr">
        <is>
          <t>NORA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27752-2022</t>
        </is>
      </c>
      <c r="B215" s="1" t="n">
        <v>44743</v>
      </c>
      <c r="C215" s="1" t="n">
        <v>45844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29262-2022</t>
        </is>
      </c>
      <c r="B216" s="1" t="n">
        <v>44750</v>
      </c>
      <c r="C216" s="1" t="n">
        <v>45844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30422-2022</t>
        </is>
      </c>
      <c r="B217" s="1" t="n">
        <v>44761</v>
      </c>
      <c r="C217" s="1" t="n">
        <v>45844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32083-2022</t>
        </is>
      </c>
      <c r="B218" s="1" t="n">
        <v>44778</v>
      </c>
      <c r="C218" s="1" t="n">
        <v>45844</v>
      </c>
      <c r="D218" t="inlineStr">
        <is>
          <t>ÖREBRO LÄN</t>
        </is>
      </c>
      <c r="E218" t="inlineStr">
        <is>
          <t>NORA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33750-2022</t>
        </is>
      </c>
      <c r="B219" s="1" t="n">
        <v>44790</v>
      </c>
      <c r="C219" s="1" t="n">
        <v>45844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34026-2022</t>
        </is>
      </c>
      <c r="B220" s="1" t="n">
        <v>44791</v>
      </c>
      <c r="C220" s="1" t="n">
        <v>45844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34141-2022</t>
        </is>
      </c>
      <c r="B221" s="1" t="n">
        <v>44791</v>
      </c>
      <c r="C221" s="1" t="n">
        <v>45844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</v>
      </c>
      <c r="C222" s="1" t="n">
        <v>45844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34195-2022</t>
        </is>
      </c>
      <c r="B223" s="1" t="n">
        <v>44791</v>
      </c>
      <c r="C223" s="1" t="n">
        <v>45844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34204-2022</t>
        </is>
      </c>
      <c r="B224" s="1" t="n">
        <v>44791</v>
      </c>
      <c r="C224" s="1" t="n">
        <v>45844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34201-2022</t>
        </is>
      </c>
      <c r="B225" s="1" t="n">
        <v>44791</v>
      </c>
      <c r="C225" s="1" t="n">
        <v>45844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34200-2022</t>
        </is>
      </c>
      <c r="B226" s="1" t="n">
        <v>44791</v>
      </c>
      <c r="C226" s="1" t="n">
        <v>45844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</v>
      </c>
      <c r="C227" s="1" t="n">
        <v>45844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34193-2022</t>
        </is>
      </c>
      <c r="B228" s="1" t="n">
        <v>44791</v>
      </c>
      <c r="C228" s="1" t="n">
        <v>45844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35671-2022</t>
        </is>
      </c>
      <c r="B229" s="1" t="n">
        <v>44799</v>
      </c>
      <c r="C229" s="1" t="n">
        <v>45844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35673-2022</t>
        </is>
      </c>
      <c r="B230" s="1" t="n">
        <v>44799</v>
      </c>
      <c r="C230" s="1" t="n">
        <v>45844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35670-2022</t>
        </is>
      </c>
      <c r="B231" s="1" t="n">
        <v>44799</v>
      </c>
      <c r="C231" s="1" t="n">
        <v>45844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35731-2022</t>
        </is>
      </c>
      <c r="B232" s="1" t="n">
        <v>44799</v>
      </c>
      <c r="C232" s="1" t="n">
        <v>45844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35730-2022</t>
        </is>
      </c>
      <c r="B233" s="1" t="n">
        <v>44799</v>
      </c>
      <c r="C233" s="1" t="n">
        <v>45844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35870-2022</t>
        </is>
      </c>
      <c r="B234" s="1" t="n">
        <v>44802</v>
      </c>
      <c r="C234" s="1" t="n">
        <v>45844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37260-2022</t>
        </is>
      </c>
      <c r="B235" s="1" t="n">
        <v>44807</v>
      </c>
      <c r="C235" s="1" t="n">
        <v>45844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37265-2022</t>
        </is>
      </c>
      <c r="B236" s="1" t="n">
        <v>44807</v>
      </c>
      <c r="C236" s="1" t="n">
        <v>45844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37262-2022</t>
        </is>
      </c>
      <c r="B237" s="1" t="n">
        <v>44807</v>
      </c>
      <c r="C237" s="1" t="n">
        <v>45844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37261-2022</t>
        </is>
      </c>
      <c r="B238" s="1" t="n">
        <v>44807</v>
      </c>
      <c r="C238" s="1" t="n">
        <v>45844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37266-2022</t>
        </is>
      </c>
      <c r="B239" s="1" t="n">
        <v>44807</v>
      </c>
      <c r="C239" s="1" t="n">
        <v>45844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37259-2022</t>
        </is>
      </c>
      <c r="B240" s="1" t="n">
        <v>44807</v>
      </c>
      <c r="C240" s="1" t="n">
        <v>45844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37263-2022</t>
        </is>
      </c>
      <c r="B241" s="1" t="n">
        <v>44807</v>
      </c>
      <c r="C241" s="1" t="n">
        <v>45844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38698-2022</t>
        </is>
      </c>
      <c r="B242" s="1" t="n">
        <v>44814</v>
      </c>
      <c r="C242" s="1" t="n">
        <v>45844</v>
      </c>
      <c r="D242" t="inlineStr">
        <is>
          <t>ÖREBRO LÄN</t>
        </is>
      </c>
      <c r="E242" t="inlineStr">
        <is>
          <t>NORA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38696-2022</t>
        </is>
      </c>
      <c r="B243" s="1" t="n">
        <v>44814</v>
      </c>
      <c r="C243" s="1" t="n">
        <v>45844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38697-2022</t>
        </is>
      </c>
      <c r="B244" s="1" t="n">
        <v>44814</v>
      </c>
      <c r="C244" s="1" t="n">
        <v>45844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39710-2022</t>
        </is>
      </c>
      <c r="B245" s="1" t="n">
        <v>44819</v>
      </c>
      <c r="C245" s="1" t="n">
        <v>45844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39707-2022</t>
        </is>
      </c>
      <c r="B246" s="1" t="n">
        <v>44819</v>
      </c>
      <c r="C246" s="1" t="n">
        <v>45844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39709-2022</t>
        </is>
      </c>
      <c r="B247" s="1" t="n">
        <v>44819</v>
      </c>
      <c r="C247" s="1" t="n">
        <v>45844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39708-2022</t>
        </is>
      </c>
      <c r="B248" s="1" t="n">
        <v>44819</v>
      </c>
      <c r="C248" s="1" t="n">
        <v>45844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43254-2022</t>
        </is>
      </c>
      <c r="B249" s="1" t="n">
        <v>44834</v>
      </c>
      <c r="C249" s="1" t="n">
        <v>45844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43941-2022</t>
        </is>
      </c>
      <c r="B250" s="1" t="n">
        <v>44838</v>
      </c>
      <c r="C250" s="1" t="n">
        <v>45844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44996-2022</t>
        </is>
      </c>
      <c r="B251" s="1" t="n">
        <v>44841</v>
      </c>
      <c r="C251" s="1" t="n">
        <v>45844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44995-2022</t>
        </is>
      </c>
      <c r="B252" s="1" t="n">
        <v>44841</v>
      </c>
      <c r="C252" s="1" t="n">
        <v>45844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44850-2022</t>
        </is>
      </c>
      <c r="B253" s="1" t="n">
        <v>44841</v>
      </c>
      <c r="C253" s="1" t="n">
        <v>45844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44993-2022</t>
        </is>
      </c>
      <c r="B254" s="1" t="n">
        <v>44841</v>
      </c>
      <c r="C254" s="1" t="n">
        <v>45844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45066-2022</t>
        </is>
      </c>
      <c r="B255" s="1" t="n">
        <v>44841</v>
      </c>
      <c r="C255" s="1" t="n">
        <v>45844</v>
      </c>
      <c r="D255" t="inlineStr">
        <is>
          <t>ÖREBRO LÄN</t>
        </is>
      </c>
      <c r="E255" t="inlineStr">
        <is>
          <t>NORA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45645-2022</t>
        </is>
      </c>
      <c r="B256" s="1" t="n">
        <v>44845</v>
      </c>
      <c r="C256" s="1" t="n">
        <v>45844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46806-2022</t>
        </is>
      </c>
      <c r="B257" s="1" t="n">
        <v>44851</v>
      </c>
      <c r="C257" s="1" t="n">
        <v>45844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48707-2022</t>
        </is>
      </c>
      <c r="B258" s="1" t="n">
        <v>44859</v>
      </c>
      <c r="C258" s="1" t="n">
        <v>45844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49135-2022</t>
        </is>
      </c>
      <c r="B259" s="1" t="n">
        <v>44860</v>
      </c>
      <c r="C259" s="1" t="n">
        <v>45844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49632-2022</t>
        </is>
      </c>
      <c r="B260" s="1" t="n">
        <v>44862</v>
      </c>
      <c r="C260" s="1" t="n">
        <v>45844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49635-2022</t>
        </is>
      </c>
      <c r="B261" s="1" t="n">
        <v>44862</v>
      </c>
      <c r="C261" s="1" t="n">
        <v>45844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49633-2022</t>
        </is>
      </c>
      <c r="B262" s="1" t="n">
        <v>44862</v>
      </c>
      <c r="C262" s="1" t="n">
        <v>45844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49629-2022</t>
        </is>
      </c>
      <c r="B263" s="1" t="n">
        <v>44862</v>
      </c>
      <c r="C263" s="1" t="n">
        <v>45844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49634-2022</t>
        </is>
      </c>
      <c r="B264" s="1" t="n">
        <v>44862</v>
      </c>
      <c r="C264" s="1" t="n">
        <v>45844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49903-2022</t>
        </is>
      </c>
      <c r="B265" s="1" t="n">
        <v>44864</v>
      </c>
      <c r="C265" s="1" t="n">
        <v>45844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50003-2022</t>
        </is>
      </c>
      <c r="B266" s="1" t="n">
        <v>44865</v>
      </c>
      <c r="C266" s="1" t="n">
        <v>45844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50208-2022</t>
        </is>
      </c>
      <c r="B267" s="1" t="n">
        <v>44865</v>
      </c>
      <c r="C267" s="1" t="n">
        <v>45844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53148-2022</t>
        </is>
      </c>
      <c r="B268" s="1" t="n">
        <v>44876</v>
      </c>
      <c r="C268" s="1" t="n">
        <v>45844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53132-2022</t>
        </is>
      </c>
      <c r="B269" s="1" t="n">
        <v>44876</v>
      </c>
      <c r="C269" s="1" t="n">
        <v>45844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53165-2022</t>
        </is>
      </c>
      <c r="B270" s="1" t="n">
        <v>44876</v>
      </c>
      <c r="C270" s="1" t="n">
        <v>45844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53209-2022</t>
        </is>
      </c>
      <c r="B271" s="1" t="n">
        <v>44876</v>
      </c>
      <c r="C271" s="1" t="n">
        <v>45844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53472-2022</t>
        </is>
      </c>
      <c r="B272" s="1" t="n">
        <v>44879</v>
      </c>
      <c r="C272" s="1" t="n">
        <v>45844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56112-2022</t>
        </is>
      </c>
      <c r="B273" s="1" t="n">
        <v>44886</v>
      </c>
      <c r="C273" s="1" t="n">
        <v>45844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55310-2022</t>
        </is>
      </c>
      <c r="B274" s="1" t="n">
        <v>44887</v>
      </c>
      <c r="C274" s="1" t="n">
        <v>45844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55311-2022</t>
        </is>
      </c>
      <c r="B275" s="1" t="n">
        <v>44887</v>
      </c>
      <c r="C275" s="1" t="n">
        <v>45844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55497-2022</t>
        </is>
      </c>
      <c r="B276" s="1" t="n">
        <v>44887</v>
      </c>
      <c r="C276" s="1" t="n">
        <v>45844</v>
      </c>
      <c r="D276" t="inlineStr">
        <is>
          <t>ÖREBRO LÄN</t>
        </is>
      </c>
      <c r="E276" t="inlineStr">
        <is>
          <t>NORA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56136-2022</t>
        </is>
      </c>
      <c r="B277" s="1" t="n">
        <v>44889</v>
      </c>
      <c r="C277" s="1" t="n">
        <v>45844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57316-2022</t>
        </is>
      </c>
      <c r="B278" s="1" t="n">
        <v>44896</v>
      </c>
      <c r="C278" s="1" t="n">
        <v>45844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57372-2022</t>
        </is>
      </c>
      <c r="B279" s="1" t="n">
        <v>44896</v>
      </c>
      <c r="C279" s="1" t="n">
        <v>45844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57666-2022</t>
        </is>
      </c>
      <c r="B280" s="1" t="n">
        <v>44897</v>
      </c>
      <c r="C280" s="1" t="n">
        <v>45844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59549-2022</t>
        </is>
      </c>
      <c r="B281" s="1" t="n">
        <v>44907</v>
      </c>
      <c r="C281" s="1" t="n">
        <v>45844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59552-2022</t>
        </is>
      </c>
      <c r="B282" s="1" t="n">
        <v>44907</v>
      </c>
      <c r="C282" s="1" t="n">
        <v>45844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59550-2022</t>
        </is>
      </c>
      <c r="B283" s="1" t="n">
        <v>44907</v>
      </c>
      <c r="C283" s="1" t="n">
        <v>45844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</v>
      </c>
      <c r="C284" s="1" t="n">
        <v>45844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61559-2022</t>
        </is>
      </c>
      <c r="B285" s="1" t="n">
        <v>44916</v>
      </c>
      <c r="C285" s="1" t="n">
        <v>45844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1433-2023</t>
        </is>
      </c>
      <c r="B286" s="1" t="n">
        <v>44931</v>
      </c>
      <c r="C286" s="1" t="n">
        <v>45844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1555-2023</t>
        </is>
      </c>
      <c r="B287" s="1" t="n">
        <v>44937</v>
      </c>
      <c r="C287" s="1" t="n">
        <v>45844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4294-2023</t>
        </is>
      </c>
      <c r="B288" s="1" t="n">
        <v>44953</v>
      </c>
      <c r="C288" s="1" t="n">
        <v>45844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4723-2023</t>
        </is>
      </c>
      <c r="B289" s="1" t="n">
        <v>44957</v>
      </c>
      <c r="C289" s="1" t="n">
        <v>45844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4910-2023</t>
        </is>
      </c>
      <c r="B290" s="1" t="n">
        <v>44958</v>
      </c>
      <c r="C290" s="1" t="n">
        <v>45844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</v>
      </c>
      <c r="C291" s="1" t="n">
        <v>45844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5674-2023</t>
        </is>
      </c>
      <c r="B292" s="1" t="n">
        <v>44960</v>
      </c>
      <c r="C292" s="1" t="n">
        <v>45844</v>
      </c>
      <c r="D292" t="inlineStr">
        <is>
          <t>ÖREBRO LÄN</t>
        </is>
      </c>
      <c r="E292" t="inlineStr">
        <is>
          <t>NORA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6588-2023</t>
        </is>
      </c>
      <c r="B293" s="1" t="n">
        <v>44966</v>
      </c>
      <c r="C293" s="1" t="n">
        <v>45844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6592-2023</t>
        </is>
      </c>
      <c r="B294" s="1" t="n">
        <v>44966</v>
      </c>
      <c r="C294" s="1" t="n">
        <v>45844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8307-2023</t>
        </is>
      </c>
      <c r="B295" s="1" t="n">
        <v>44974</v>
      </c>
      <c r="C295" s="1" t="n">
        <v>45844</v>
      </c>
      <c r="D295" t="inlineStr">
        <is>
          <t>ÖREBRO LÄN</t>
        </is>
      </c>
      <c r="E295" t="inlineStr">
        <is>
          <t>NORA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10854-2023</t>
        </is>
      </c>
      <c r="B296" s="1" t="n">
        <v>44991</v>
      </c>
      <c r="C296" s="1" t="n">
        <v>45844</v>
      </c>
      <c r="D296" t="inlineStr">
        <is>
          <t>ÖREBRO LÄN</t>
        </is>
      </c>
      <c r="E296" t="inlineStr">
        <is>
          <t>NORA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12701-2023</t>
        </is>
      </c>
      <c r="B297" s="1" t="n">
        <v>45000</v>
      </c>
      <c r="C297" s="1" t="n">
        <v>45844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12699-2023</t>
        </is>
      </c>
      <c r="B298" s="1" t="n">
        <v>45000</v>
      </c>
      <c r="C298" s="1" t="n">
        <v>45844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12698-2023</t>
        </is>
      </c>
      <c r="B299" s="1" t="n">
        <v>45000</v>
      </c>
      <c r="C299" s="1" t="n">
        <v>45844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13306-2023</t>
        </is>
      </c>
      <c r="B300" s="1" t="n">
        <v>45005</v>
      </c>
      <c r="C300" s="1" t="n">
        <v>45844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13459-2023</t>
        </is>
      </c>
      <c r="B301" s="1" t="n">
        <v>45005</v>
      </c>
      <c r="C301" s="1" t="n">
        <v>45844</v>
      </c>
      <c r="D301" t="inlineStr">
        <is>
          <t>ÖREBRO LÄN</t>
        </is>
      </c>
      <c r="E301" t="inlineStr">
        <is>
          <t>NORA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13431-2023</t>
        </is>
      </c>
      <c r="B302" s="1" t="n">
        <v>45005</v>
      </c>
      <c r="C302" s="1" t="n">
        <v>45844</v>
      </c>
      <c r="D302" t="inlineStr">
        <is>
          <t>ÖREBRO LÄN</t>
        </is>
      </c>
      <c r="E302" t="inlineStr">
        <is>
          <t>NORA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15012-2023</t>
        </is>
      </c>
      <c r="B303" s="1" t="n">
        <v>45015</v>
      </c>
      <c r="C303" s="1" t="n">
        <v>45844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15246-2023</t>
        </is>
      </c>
      <c r="B304" s="1" t="n">
        <v>45019</v>
      </c>
      <c r="C304" s="1" t="n">
        <v>45844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15245-2023</t>
        </is>
      </c>
      <c r="B305" s="1" t="n">
        <v>45019</v>
      </c>
      <c r="C305" s="1" t="n">
        <v>45844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45844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45844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45844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45844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45844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45844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45844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45844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45844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45844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45844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45844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45844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45844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45844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45844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45844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45844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45844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45844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45844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45844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45844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45844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45844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45844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45844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45844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45844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45844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45844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45844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45844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45844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45844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45844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45844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45844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45844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45844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45844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45844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45844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45844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45844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45844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45844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45844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45844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45844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45844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45844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45844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45844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45844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45844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45844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45844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45844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45844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45844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45844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45844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45844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45844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45844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45844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45844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45844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45844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45844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45844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45844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45844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45844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45844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45844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45844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45844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45844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45844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45844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45844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45844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45844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45844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45844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45844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45844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45844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45844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45844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45844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45844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45844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45844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45844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45844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45844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45844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45844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45844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45844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45844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45844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45844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45844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45844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45844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45844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45844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45844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45844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45844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45844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45844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45844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45844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45844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45844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45844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45844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45844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45844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45844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45844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45844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45844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45844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45844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45844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45844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45844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45844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45844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45844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45844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45844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45844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45844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45844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45844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45844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45844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45844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45844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45844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45844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45844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45844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45844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45844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45844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45844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45844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45844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45844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45844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45844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45844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45844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45844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45844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45844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45844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45844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45844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45844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45844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45844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45844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45844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45844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45844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45844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45844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45844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45844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45844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45844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45844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45844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45844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45844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45844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45844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45844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45844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45844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45844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45844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45844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45844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45844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45844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45844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45844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45844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45844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45844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45844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45844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45844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45844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45844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45844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45844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45844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45844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45844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45844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45844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45844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45844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45844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45844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45844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45844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45844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45844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45844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45844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45844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45844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45844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45844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45844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45844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45844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45844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45844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45844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45844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45844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45844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45844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45844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45844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45844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45844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45844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45844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45844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45844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32496-2025</t>
        </is>
      </c>
      <c r="B550" s="1" t="n">
        <v>45838</v>
      </c>
      <c r="C550" s="1" t="n">
        <v>45844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32498-2025</t>
        </is>
      </c>
      <c r="B551" s="1" t="n">
        <v>45838</v>
      </c>
      <c r="C551" s="1" t="n">
        <v>45844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32497-2025</t>
        </is>
      </c>
      <c r="B552" s="1" t="n">
        <v>45838</v>
      </c>
      <c r="C552" s="1" t="n">
        <v>45844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32501-2025</t>
        </is>
      </c>
      <c r="B553" s="1" t="n">
        <v>45838</v>
      </c>
      <c r="C553" s="1" t="n">
        <v>45844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32494-2025</t>
        </is>
      </c>
      <c r="B554" s="1" t="n">
        <v>45838</v>
      </c>
      <c r="C554" s="1" t="n">
        <v>45844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2025-07-06T19:23:22Z</dcterms:created>
  <dcterms:modified xmlns:dcterms="http://purl.org/dc/terms/" xmlns:xsi="http://www.w3.org/2001/XMLSchema-instance" xsi:type="dcterms:W3CDTF">2025-07-06T19:23:22Z</dcterms:modified>
</cp:coreProperties>
</file>