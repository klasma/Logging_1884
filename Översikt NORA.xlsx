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46161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46161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46161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46161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46161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46161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46161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46161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46161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46161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46161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46161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54598-2025</t>
        </is>
      </c>
      <c r="B18" s="1" t="n">
        <v>45965.77918981481</v>
      </c>
      <c r="C18" s="1" t="n">
        <v>46161</v>
      </c>
      <c r="D18" t="inlineStr">
        <is>
          <t>ÖREBRO LÄN</t>
        </is>
      </c>
      <c r="E18" t="inlineStr">
        <is>
          <t>NORA</t>
        </is>
      </c>
      <c r="G18" t="n">
        <v>3.3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Drillsnäppa
Vanlig snok</t>
        </is>
      </c>
      <c r="S18">
        <f>HYPERLINK("https://klasma.github.io/Logging_1884/artfynd/A 54598-2025 artfynd.xlsx", "A 54598-2025")</f>
        <v/>
      </c>
      <c r="T18">
        <f>HYPERLINK("https://klasma.github.io/Logging_1884/kartor/A 54598-2025 karta.png", "A 54598-2025")</f>
        <v/>
      </c>
      <c r="V18">
        <f>HYPERLINK("https://klasma.github.io/Logging_1884/klagomål/A 54598-2025 FSC-klagomål.docx", "A 54598-2025")</f>
        <v/>
      </c>
      <c r="W18">
        <f>HYPERLINK("https://klasma.github.io/Logging_1884/klagomålsmail/A 54598-2025 FSC-klagomål mail.docx", "A 54598-2025")</f>
        <v/>
      </c>
      <c r="X18">
        <f>HYPERLINK("https://klasma.github.io/Logging_1884/tillsyn/A 54598-2025 tillsynsbegäran.docx", "A 54598-2025")</f>
        <v/>
      </c>
      <c r="Y18">
        <f>HYPERLINK("https://klasma.github.io/Logging_1884/tillsynsmail/A 54598-2025 tillsynsbegäran mail.docx", "A 54598-2025")</f>
        <v/>
      </c>
    </row>
    <row r="19" ht="15" customHeight="1">
      <c r="A19" t="inlineStr">
        <is>
          <t>A 63535-2025</t>
        </is>
      </c>
      <c r="B19" s="1" t="n">
        <v>46013.57747685185</v>
      </c>
      <c r="C19" s="1" t="n">
        <v>46161</v>
      </c>
      <c r="D19" t="inlineStr">
        <is>
          <t>ÖREBRO LÄN</t>
        </is>
      </c>
      <c r="E19" t="inlineStr">
        <is>
          <t>NORA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Kryddtofsskivling
Blåsippa</t>
        </is>
      </c>
      <c r="S19">
        <f>HYPERLINK("https://klasma.github.io/Logging_1884/artfynd/A 63535-2025 artfynd.xlsx", "A 63535-2025")</f>
        <v/>
      </c>
      <c r="T19">
        <f>HYPERLINK("https://klasma.github.io/Logging_1884/kartor/A 63535-2025 karta.png", "A 63535-2025")</f>
        <v/>
      </c>
      <c r="V19">
        <f>HYPERLINK("https://klasma.github.io/Logging_1884/klagomål/A 63535-2025 FSC-klagomål.docx", "A 63535-2025")</f>
        <v/>
      </c>
      <c r="W19">
        <f>HYPERLINK("https://klasma.github.io/Logging_1884/klagomålsmail/A 63535-2025 FSC-klagomål mail.docx", "A 63535-2025")</f>
        <v/>
      </c>
      <c r="X19">
        <f>HYPERLINK("https://klasma.github.io/Logging_1884/tillsyn/A 63535-2025 tillsynsbegäran.docx", "A 63535-2025")</f>
        <v/>
      </c>
      <c r="Y19">
        <f>HYPERLINK("https://klasma.github.io/Logging_1884/tillsynsmail/A 63535-2025 tillsynsbegäran mail.docx", "A 63535-2025")</f>
        <v/>
      </c>
    </row>
    <row r="20" ht="15" customHeight="1">
      <c r="A20" t="inlineStr">
        <is>
          <t>A 63537-2025</t>
        </is>
      </c>
      <c r="B20" s="1" t="n">
        <v>46013.58233796297</v>
      </c>
      <c r="C20" s="1" t="n">
        <v>46161</v>
      </c>
      <c r="D20" t="inlineStr">
        <is>
          <t>ÖREBRO LÄN</t>
        </is>
      </c>
      <c r="E20" t="inlineStr">
        <is>
          <t>NORA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Skogshakmossa</t>
        </is>
      </c>
      <c r="S20">
        <f>HYPERLINK("https://klasma.github.io/Logging_1884/artfynd/A 63537-2025 artfynd.xlsx", "A 63537-2025")</f>
        <v/>
      </c>
      <c r="T20">
        <f>HYPERLINK("https://klasma.github.io/Logging_1884/kartor/A 63537-2025 karta.png", "A 63537-2025")</f>
        <v/>
      </c>
      <c r="V20">
        <f>HYPERLINK("https://klasma.github.io/Logging_1884/klagomål/A 63537-2025 FSC-klagomål.docx", "A 63537-2025")</f>
        <v/>
      </c>
      <c r="W20">
        <f>HYPERLINK("https://klasma.github.io/Logging_1884/klagomålsmail/A 63537-2025 FSC-klagomål mail.docx", "A 63537-2025")</f>
        <v/>
      </c>
      <c r="X20">
        <f>HYPERLINK("https://klasma.github.io/Logging_1884/tillsyn/A 63537-2025 tillsynsbegäran.docx", "A 63537-2025")</f>
        <v/>
      </c>
      <c r="Y20">
        <f>HYPERLINK("https://klasma.github.io/Logging_1884/tillsynsmail/A 63537-2025 tillsynsbegäran mail.docx", "A 63537-2025")</f>
        <v/>
      </c>
    </row>
    <row r="21" ht="15" customHeight="1">
      <c r="A21" t="inlineStr">
        <is>
          <t>A 51036-2022</t>
        </is>
      </c>
      <c r="B21" s="1" t="n">
        <v>44868.3161574074</v>
      </c>
      <c r="C21" s="1" t="n">
        <v>46161</v>
      </c>
      <c r="D21" t="inlineStr">
        <is>
          <t>ÖREBRO LÄN</t>
        </is>
      </c>
      <c r="E21" t="inlineStr">
        <is>
          <t>NORA</t>
        </is>
      </c>
      <c r="G21" t="n">
        <v>3.2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Vårärt</t>
        </is>
      </c>
      <c r="S21">
        <f>HYPERLINK("https://klasma.github.io/Logging_1884/artfynd/A 51036-2022 artfynd.xlsx", "A 51036-2022")</f>
        <v/>
      </c>
      <c r="T21">
        <f>HYPERLINK("https://klasma.github.io/Logging_1884/kartor/A 51036-2022 karta.png", "A 51036-2022")</f>
        <v/>
      </c>
      <c r="V21">
        <f>HYPERLINK("https://klasma.github.io/Logging_1884/klagomål/A 51036-2022 FSC-klagomål.docx", "A 51036-2022")</f>
        <v/>
      </c>
      <c r="W21">
        <f>HYPERLINK("https://klasma.github.io/Logging_1884/klagomålsmail/A 51036-2022 FSC-klagomål mail.docx", "A 51036-2022")</f>
        <v/>
      </c>
      <c r="X21">
        <f>HYPERLINK("https://klasma.github.io/Logging_1884/tillsyn/A 51036-2022 tillsynsbegäran.docx", "A 51036-2022")</f>
        <v/>
      </c>
      <c r="Y21">
        <f>HYPERLINK("https://klasma.github.io/Logging_1884/tillsynsmail/A 51036-2022 tillsynsbegäran mail.docx", "A 51036-2022")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46161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46161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46161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20659-2025</t>
        </is>
      </c>
      <c r="B25" s="1" t="n">
        <v>45776.41106481481</v>
      </c>
      <c r="C25" s="1" t="n">
        <v>46161</v>
      </c>
      <c r="D25" t="inlineStr">
        <is>
          <t>ÖREBRO LÄN</t>
        </is>
      </c>
      <c r="E25" t="inlineStr">
        <is>
          <t>NORA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20659-2025 artfynd.xlsx", "A 20659-2025")</f>
        <v/>
      </c>
      <c r="T25">
        <f>HYPERLINK("https://klasma.github.io/Logging_1884/kartor/A 20659-2025 karta.png", "A 20659-2025")</f>
        <v/>
      </c>
      <c r="V25">
        <f>HYPERLINK("https://klasma.github.io/Logging_1884/klagomål/A 20659-2025 FSC-klagomål.docx", "A 20659-2025")</f>
        <v/>
      </c>
      <c r="W25">
        <f>HYPERLINK("https://klasma.github.io/Logging_1884/klagomålsmail/A 20659-2025 FSC-klagomål mail.docx", "A 20659-2025")</f>
        <v/>
      </c>
      <c r="X25">
        <f>HYPERLINK("https://klasma.github.io/Logging_1884/tillsyn/A 20659-2025 tillsynsbegäran.docx", "A 20659-2025")</f>
        <v/>
      </c>
      <c r="Y25">
        <f>HYPERLINK("https://klasma.github.io/Logging_1884/tillsynsmail/A 20659-2025 tillsynsbegäran mail.docx", "A 20659-2025")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46161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16642-2024</t>
        </is>
      </c>
      <c r="B27" s="1" t="n">
        <v>45408.61318287037</v>
      </c>
      <c r="C27" s="1" t="n">
        <v>46161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16642-2024 artfynd.xlsx", "A 16642-2024")</f>
        <v/>
      </c>
      <c r="T27">
        <f>HYPERLINK("https://klasma.github.io/Logging_1884/kartor/A 16642-2024 karta.png", "A 16642-2024")</f>
        <v/>
      </c>
      <c r="V27">
        <f>HYPERLINK("https://klasma.github.io/Logging_1884/klagomål/A 16642-2024 FSC-klagomål.docx", "A 16642-2024")</f>
        <v/>
      </c>
      <c r="W27">
        <f>HYPERLINK("https://klasma.github.io/Logging_1884/klagomålsmail/A 16642-2024 FSC-klagomål mail.docx", "A 16642-2024")</f>
        <v/>
      </c>
      <c r="X27">
        <f>HYPERLINK("https://klasma.github.io/Logging_1884/tillsyn/A 16642-2024 tillsynsbegäran.docx", "A 16642-2024")</f>
        <v/>
      </c>
      <c r="Y27">
        <f>HYPERLINK("https://klasma.github.io/Logging_1884/tillsynsmail/A 16642-2024 tillsynsbegäran mail.docx", "A 16642-2024")</f>
        <v/>
      </c>
    </row>
    <row r="28" ht="15" customHeight="1">
      <c r="A28" t="inlineStr">
        <is>
          <t>A 1520-2025</t>
        </is>
      </c>
      <c r="B28" s="1" t="n">
        <v>45670</v>
      </c>
      <c r="C28" s="1" t="n">
        <v>46161</v>
      </c>
      <c r="D28" t="inlineStr">
        <is>
          <t>ÖREBRO LÄN</t>
        </is>
      </c>
      <c r="E28" t="inlineStr">
        <is>
          <t>NORA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HYPERLINK("https://klasma.github.io/Logging_1884/artfynd/A 1520-2025 artfynd.xlsx", "A 1520-2025")</f>
        <v/>
      </c>
      <c r="T28">
        <f>HYPERLINK("https://klasma.github.io/Logging_1884/kartor/A 1520-2025 karta.png", "A 1520-2025")</f>
        <v/>
      </c>
      <c r="V28">
        <f>HYPERLINK("https://klasma.github.io/Logging_1884/klagomål/A 1520-2025 FSC-klagomål.docx", "A 1520-2025")</f>
        <v/>
      </c>
      <c r="W28">
        <f>HYPERLINK("https://klasma.github.io/Logging_1884/klagomålsmail/A 1520-2025 FSC-klagomål mail.docx", "A 1520-2025")</f>
        <v/>
      </c>
      <c r="X28">
        <f>HYPERLINK("https://klasma.github.io/Logging_1884/tillsyn/A 1520-2025 tillsynsbegäran.docx", "A 1520-2025")</f>
        <v/>
      </c>
      <c r="Y28">
        <f>HYPERLINK("https://klasma.github.io/Logging_1884/tillsynsmail/A 1520-2025 tillsynsbegäran mail.docx", "A 1520-2025")</f>
        <v/>
      </c>
    </row>
    <row r="29" ht="15" customHeight="1">
      <c r="A29" t="inlineStr">
        <is>
          <t>A 15327-2024</t>
        </is>
      </c>
      <c r="B29" s="1" t="n">
        <v>45400.68243055556</v>
      </c>
      <c r="C29" s="1" t="n">
        <v>46161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46161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26658-2025</t>
        </is>
      </c>
      <c r="B31" s="1" t="n">
        <v>45810.39315972223</v>
      </c>
      <c r="C31" s="1" t="n">
        <v>46161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26658-2025 artfynd.xlsx", "A 26658-2025")</f>
        <v/>
      </c>
      <c r="T31">
        <f>HYPERLINK("https://klasma.github.io/Logging_1884/kartor/A 26658-2025 karta.png", "A 26658-2025")</f>
        <v/>
      </c>
      <c r="V31">
        <f>HYPERLINK("https://klasma.github.io/Logging_1884/klagomål/A 26658-2025 FSC-klagomål.docx", "A 26658-2025")</f>
        <v/>
      </c>
      <c r="W31">
        <f>HYPERLINK("https://klasma.github.io/Logging_1884/klagomålsmail/A 26658-2025 FSC-klagomål mail.docx", "A 26658-2025")</f>
        <v/>
      </c>
      <c r="X31">
        <f>HYPERLINK("https://klasma.github.io/Logging_1884/tillsyn/A 26658-2025 tillsynsbegäran.docx", "A 26658-2025")</f>
        <v/>
      </c>
      <c r="Y31">
        <f>HYPERLINK("https://klasma.github.io/Logging_1884/tillsynsmail/A 26658-2025 tillsynsbegäran mail.docx", "A 26658-2025")</f>
        <v/>
      </c>
    </row>
    <row r="32" ht="15" customHeight="1">
      <c r="A32" t="inlineStr">
        <is>
          <t>A 26659-2025</t>
        </is>
      </c>
      <c r="B32" s="1" t="n">
        <v>45810.39408564815</v>
      </c>
      <c r="C32" s="1" t="n">
        <v>46161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26659-2025 artfynd.xlsx", "A 26659-2025")</f>
        <v/>
      </c>
      <c r="T32">
        <f>HYPERLINK("https://klasma.github.io/Logging_1884/kartor/A 26659-2025 karta.png", "A 26659-2025")</f>
        <v/>
      </c>
      <c r="V32">
        <f>HYPERLINK("https://klasma.github.io/Logging_1884/klagomål/A 26659-2025 FSC-klagomål.docx", "A 26659-2025")</f>
        <v/>
      </c>
      <c r="W32">
        <f>HYPERLINK("https://klasma.github.io/Logging_1884/klagomålsmail/A 26659-2025 FSC-klagomål mail.docx", "A 26659-2025")</f>
        <v/>
      </c>
      <c r="X32">
        <f>HYPERLINK("https://klasma.github.io/Logging_1884/tillsyn/A 26659-2025 tillsynsbegäran.docx", "A 26659-2025")</f>
        <v/>
      </c>
      <c r="Y32">
        <f>HYPERLINK("https://klasma.github.io/Logging_1884/tillsynsmail/A 26659-2025 tillsynsbegäran mail.docx", "A 26659-2025")</f>
        <v/>
      </c>
    </row>
    <row r="33" ht="15" customHeight="1">
      <c r="A33" t="inlineStr">
        <is>
          <t>A 43148-2025</t>
        </is>
      </c>
      <c r="B33" s="1" t="n">
        <v>45910.32248842593</v>
      </c>
      <c r="C33" s="1" t="n">
        <v>46161</v>
      </c>
      <c r="D33" t="inlineStr">
        <is>
          <t>ÖREBRO LÄN</t>
        </is>
      </c>
      <c r="E33" t="inlineStr">
        <is>
          <t>NORA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HYPERLINK("https://klasma.github.io/Logging_1884/artfynd/A 43148-2025 artfynd.xlsx", "A 43148-2025")</f>
        <v/>
      </c>
      <c r="T33">
        <f>HYPERLINK("https://klasma.github.io/Logging_1884/kartor/A 43148-2025 karta.png", "A 43148-2025")</f>
        <v/>
      </c>
      <c r="V33">
        <f>HYPERLINK("https://klasma.github.io/Logging_1884/klagomål/A 43148-2025 FSC-klagomål.docx", "A 43148-2025")</f>
        <v/>
      </c>
      <c r="W33">
        <f>HYPERLINK("https://klasma.github.io/Logging_1884/klagomålsmail/A 43148-2025 FSC-klagomål mail.docx", "A 43148-2025")</f>
        <v/>
      </c>
      <c r="X33">
        <f>HYPERLINK("https://klasma.github.io/Logging_1884/tillsyn/A 43148-2025 tillsynsbegäran.docx", "A 43148-2025")</f>
        <v/>
      </c>
      <c r="Y33">
        <f>HYPERLINK("https://klasma.github.io/Logging_1884/tillsynsmail/A 43148-2025 tillsynsbegäran mail.docx", "A 43148-2025")</f>
        <v/>
      </c>
    </row>
    <row r="34" ht="15" customHeight="1">
      <c r="A34" t="inlineStr">
        <is>
          <t>A 14312-2025</t>
        </is>
      </c>
      <c r="B34" s="1" t="n">
        <v>45740.71707175926</v>
      </c>
      <c r="C34" s="1" t="n">
        <v>46161</v>
      </c>
      <c r="D34" t="inlineStr">
        <is>
          <t>ÖREBRO LÄN</t>
        </is>
      </c>
      <c r="E34" t="inlineStr">
        <is>
          <t>NORA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14312-2025 artfynd.xlsx", "A 14312-2025")</f>
        <v/>
      </c>
      <c r="T34">
        <f>HYPERLINK("https://klasma.github.io/Logging_1884/kartor/A 14312-2025 karta.png", "A 14312-2025")</f>
        <v/>
      </c>
      <c r="V34">
        <f>HYPERLINK("https://klasma.github.io/Logging_1884/klagomål/A 14312-2025 FSC-klagomål.docx", "A 14312-2025")</f>
        <v/>
      </c>
      <c r="W34">
        <f>HYPERLINK("https://klasma.github.io/Logging_1884/klagomålsmail/A 14312-2025 FSC-klagomål mail.docx", "A 14312-2025")</f>
        <v/>
      </c>
      <c r="X34">
        <f>HYPERLINK("https://klasma.github.io/Logging_1884/tillsyn/A 14312-2025 tillsynsbegäran.docx", "A 14312-2025")</f>
        <v/>
      </c>
      <c r="Y34">
        <f>HYPERLINK("https://klasma.github.io/Logging_1884/tillsynsmail/A 14312-2025 tillsynsbegäran mail.docx", "A 14312-2025")</f>
        <v/>
      </c>
      <c r="Z34">
        <f>HYPERLINK("https://klasma.github.io/Logging_1884/fåglar/A 14312-2025 prioriterade fågelarter.docx", "A 14312-2025")</f>
        <v/>
      </c>
    </row>
    <row r="35" ht="15" customHeight="1">
      <c r="A35" t="inlineStr">
        <is>
          <t>A 32498-2025</t>
        </is>
      </c>
      <c r="B35" s="1" t="n">
        <v>45838.4570949074</v>
      </c>
      <c r="C35" s="1" t="n">
        <v>46161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32498-2025 artfynd.xlsx", "A 32498-2025")</f>
        <v/>
      </c>
      <c r="T35">
        <f>HYPERLINK("https://klasma.github.io/Logging_1884/kartor/A 32498-2025 karta.png", "A 32498-2025")</f>
        <v/>
      </c>
      <c r="V35">
        <f>HYPERLINK("https://klasma.github.io/Logging_1884/klagomål/A 32498-2025 FSC-klagomål.docx", "A 32498-2025")</f>
        <v/>
      </c>
      <c r="W35">
        <f>HYPERLINK("https://klasma.github.io/Logging_1884/klagomålsmail/A 32498-2025 FSC-klagomål mail.docx", "A 32498-2025")</f>
        <v/>
      </c>
      <c r="X35">
        <f>HYPERLINK("https://klasma.github.io/Logging_1884/tillsyn/A 32498-2025 tillsynsbegäran.docx", "A 32498-2025")</f>
        <v/>
      </c>
      <c r="Y35">
        <f>HYPERLINK("https://klasma.github.io/Logging_1884/tillsynsmail/A 32498-2025 tillsynsbegäran mail.docx", "A 32498-2025")</f>
        <v/>
      </c>
    </row>
    <row r="36" ht="15" customHeight="1">
      <c r="A36" t="inlineStr">
        <is>
          <t>A 34826-2025</t>
        </is>
      </c>
      <c r="B36" s="1" t="n">
        <v>45849.38326388889</v>
      </c>
      <c r="C36" s="1" t="n">
        <v>46161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34826-2025 artfynd.xlsx", "A 34826-2025")</f>
        <v/>
      </c>
      <c r="T36">
        <f>HYPERLINK("https://klasma.github.io/Logging_1884/kartor/A 34826-2025 karta.png", "A 34826-2025")</f>
        <v/>
      </c>
      <c r="V36">
        <f>HYPERLINK("https://klasma.github.io/Logging_1884/klagomål/A 34826-2025 FSC-klagomål.docx", "A 34826-2025")</f>
        <v/>
      </c>
      <c r="W36">
        <f>HYPERLINK("https://klasma.github.io/Logging_1884/klagomålsmail/A 34826-2025 FSC-klagomål mail.docx", "A 34826-2025")</f>
        <v/>
      </c>
      <c r="X36">
        <f>HYPERLINK("https://klasma.github.io/Logging_1884/tillsyn/A 34826-2025 tillsynsbegäran.docx", "A 34826-2025")</f>
        <v/>
      </c>
      <c r="Y36">
        <f>HYPERLINK("https://klasma.github.io/Logging_1884/tillsynsmail/A 34826-2025 tillsynsbegäran mail.docx", "A 34826-2025")</f>
        <v/>
      </c>
    </row>
    <row r="37" ht="15" customHeight="1">
      <c r="A37" t="inlineStr">
        <is>
          <t>A 55261-2025</t>
        </is>
      </c>
      <c r="B37" s="1" t="n">
        <v>45968.64734953704</v>
      </c>
      <c r="C37" s="1" t="n">
        <v>46161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HYPERLINK("https://klasma.github.io/Logging_1884/artfynd/A 55261-2025 artfynd.xlsx", "A 55261-2025")</f>
        <v/>
      </c>
      <c r="T37">
        <f>HYPERLINK("https://klasma.github.io/Logging_1884/kartor/A 55261-2025 karta.png", "A 55261-2025")</f>
        <v/>
      </c>
      <c r="V37">
        <f>HYPERLINK("https://klasma.github.io/Logging_1884/klagomål/A 55261-2025 FSC-klagomål.docx", "A 55261-2025")</f>
        <v/>
      </c>
      <c r="W37">
        <f>HYPERLINK("https://klasma.github.io/Logging_1884/klagomålsmail/A 55261-2025 FSC-klagomål mail.docx", "A 55261-2025")</f>
        <v/>
      </c>
      <c r="X37">
        <f>HYPERLINK("https://klasma.github.io/Logging_1884/tillsyn/A 55261-2025 tillsynsbegäran.docx", "A 55261-2025")</f>
        <v/>
      </c>
      <c r="Y37">
        <f>HYPERLINK("https://klasma.github.io/Logging_1884/tillsynsmail/A 55261-2025 tillsynsbegäran mail.docx", "A 55261-2025")</f>
        <v/>
      </c>
    </row>
    <row r="38" ht="15" customHeight="1">
      <c r="A38" t="inlineStr">
        <is>
          <t>A 33136-2025</t>
        </is>
      </c>
      <c r="B38" s="1" t="n">
        <v>45840</v>
      </c>
      <c r="C38" s="1" t="n">
        <v>46161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HYPERLINK("https://klasma.github.io/Logging_1884/artfynd/A 33136-2025 artfynd.xlsx", "A 33136-2025")</f>
        <v/>
      </c>
      <c r="T38">
        <f>HYPERLINK("https://klasma.github.io/Logging_1884/kartor/A 33136-2025 karta.png", "A 33136-2025")</f>
        <v/>
      </c>
      <c r="V38">
        <f>HYPERLINK("https://klasma.github.io/Logging_1884/klagomål/A 33136-2025 FSC-klagomål.docx", "A 33136-2025")</f>
        <v/>
      </c>
      <c r="W38">
        <f>HYPERLINK("https://klasma.github.io/Logging_1884/klagomålsmail/A 33136-2025 FSC-klagomål mail.docx", "A 33136-2025")</f>
        <v/>
      </c>
      <c r="X38">
        <f>HYPERLINK("https://klasma.github.io/Logging_1884/tillsyn/A 33136-2025 tillsynsbegäran.docx", "A 33136-2025")</f>
        <v/>
      </c>
      <c r="Y38">
        <f>HYPERLINK("https://klasma.github.io/Logging_1884/tillsynsmail/A 33136-2025 tillsynsbegäran mail.docx", "A 33136-2025")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46161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16063-2023</t>
        </is>
      </c>
      <c r="B40" s="1" t="n">
        <v>45027</v>
      </c>
      <c r="C40" s="1" t="n">
        <v>46161</v>
      </c>
      <c r="D40" t="inlineStr">
        <is>
          <t>ÖREBRO LÄN</t>
        </is>
      </c>
      <c r="E40" t="inlineStr">
        <is>
          <t>NORA</t>
        </is>
      </c>
      <c r="G40" t="n">
        <v>7.3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Violettkantad guldvinge</t>
        </is>
      </c>
      <c r="S40">
        <f>HYPERLINK("https://klasma.github.io/Logging_1884/artfynd/A 16063-2023 artfynd.xlsx", "A 16063-2023")</f>
        <v/>
      </c>
      <c r="T40">
        <f>HYPERLINK("https://klasma.github.io/Logging_1884/kartor/A 16063-2023 karta.png", "A 16063-2023")</f>
        <v/>
      </c>
      <c r="V40">
        <f>HYPERLINK("https://klasma.github.io/Logging_1884/klagomål/A 16063-2023 FSC-klagomål.docx", "A 16063-2023")</f>
        <v/>
      </c>
      <c r="W40">
        <f>HYPERLINK("https://klasma.github.io/Logging_1884/klagomålsmail/A 16063-2023 FSC-klagomål mail.docx", "A 16063-2023")</f>
        <v/>
      </c>
      <c r="X40">
        <f>HYPERLINK("https://klasma.github.io/Logging_1884/tillsyn/A 16063-2023 tillsynsbegäran.docx", "A 16063-2023")</f>
        <v/>
      </c>
      <c r="Y40">
        <f>HYPERLINK("https://klasma.github.io/Logging_1884/tillsynsmail/A 16063-2023 tillsynsbegäran mail.docx", "A 16063-2023")</f>
        <v/>
      </c>
    </row>
    <row r="41" ht="15" customHeight="1">
      <c r="A41" t="inlineStr">
        <is>
          <t>A 14306-2025</t>
        </is>
      </c>
      <c r="B41" s="1" t="n">
        <v>45740.70622685185</v>
      </c>
      <c r="C41" s="1" t="n">
        <v>46161</v>
      </c>
      <c r="D41" t="inlineStr">
        <is>
          <t>ÖREBRO LÄN</t>
        </is>
      </c>
      <c r="E41" t="inlineStr">
        <is>
          <t>NORA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14306-2025 artfynd.xlsx", "A 14306-2025")</f>
        <v/>
      </c>
      <c r="T41">
        <f>HYPERLINK("https://klasma.github.io/Logging_1884/kartor/A 14306-2025 karta.png", "A 14306-2025")</f>
        <v/>
      </c>
      <c r="V41">
        <f>HYPERLINK("https://klasma.github.io/Logging_1884/klagomål/A 14306-2025 FSC-klagomål.docx", "A 14306-2025")</f>
        <v/>
      </c>
      <c r="W41">
        <f>HYPERLINK("https://klasma.github.io/Logging_1884/klagomålsmail/A 14306-2025 FSC-klagomål mail.docx", "A 14306-2025")</f>
        <v/>
      </c>
      <c r="X41">
        <f>HYPERLINK("https://klasma.github.io/Logging_1884/tillsyn/A 14306-2025 tillsynsbegäran.docx", "A 14306-2025")</f>
        <v/>
      </c>
      <c r="Y41">
        <f>HYPERLINK("https://klasma.github.io/Logging_1884/tillsynsmail/A 14306-2025 tillsynsbegäran mail.docx", "A 14306-2025")</f>
        <v/>
      </c>
      <c r="Z41">
        <f>HYPERLINK("https://klasma.github.io/Logging_1884/fåglar/A 14306-2025 prioriterade fågelarter.docx", "A 14306-2025")</f>
        <v/>
      </c>
    </row>
    <row r="42" ht="15" customHeight="1">
      <c r="A42" t="inlineStr">
        <is>
          <t>A 56959-2025</t>
        </is>
      </c>
      <c r="B42" s="1" t="n">
        <v>45978.6584375</v>
      </c>
      <c r="C42" s="1" t="n">
        <v>46161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56959-2025 artfynd.xlsx", "A 56959-2025")</f>
        <v/>
      </c>
      <c r="T42">
        <f>HYPERLINK("https://klasma.github.io/Logging_1884/kartor/A 56959-2025 karta.png", "A 56959-2025")</f>
        <v/>
      </c>
      <c r="V42">
        <f>HYPERLINK("https://klasma.github.io/Logging_1884/klagomål/A 56959-2025 FSC-klagomål.docx", "A 56959-2025")</f>
        <v/>
      </c>
      <c r="W42">
        <f>HYPERLINK("https://klasma.github.io/Logging_1884/klagomålsmail/A 56959-2025 FSC-klagomål mail.docx", "A 56959-2025")</f>
        <v/>
      </c>
      <c r="X42">
        <f>HYPERLINK("https://klasma.github.io/Logging_1884/tillsyn/A 56959-2025 tillsynsbegäran.docx", "A 56959-2025")</f>
        <v/>
      </c>
      <c r="Y42">
        <f>HYPERLINK("https://klasma.github.io/Logging_1884/tillsynsmail/A 56959-2025 tillsynsbegäran mail.docx", "A 56959-2025")</f>
        <v/>
      </c>
      <c r="Z42">
        <f>HYPERLINK("https://klasma.github.io/Logging_1884/fåglar/A 56959-2025 prioriterade fågelarter.docx", "A 56959-2025")</f>
        <v/>
      </c>
    </row>
    <row r="43" ht="15" customHeight="1">
      <c r="A43" t="inlineStr">
        <is>
          <t>A 16289-2026</t>
        </is>
      </c>
      <c r="B43" s="1" t="n">
        <v>46111.5253125</v>
      </c>
      <c r="C43" s="1" t="n">
        <v>46161</v>
      </c>
      <c r="D43" t="inlineStr">
        <is>
          <t>ÖREBRO LÄN</t>
        </is>
      </c>
      <c r="E43" t="inlineStr">
        <is>
          <t>NORA</t>
        </is>
      </c>
      <c r="G43" t="n">
        <v>2.5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HYPERLINK("https://klasma.github.io/Logging_1884/artfynd/A 16289-2026 artfynd.xlsx", "A 16289-2026")</f>
        <v/>
      </c>
      <c r="T43">
        <f>HYPERLINK("https://klasma.github.io/Logging_1884/kartor/A 16289-2026 karta.png", "A 16289-2026")</f>
        <v/>
      </c>
      <c r="V43">
        <f>HYPERLINK("https://klasma.github.io/Logging_1884/klagomål/A 16289-2026 FSC-klagomål.docx", "A 16289-2026")</f>
        <v/>
      </c>
      <c r="W43">
        <f>HYPERLINK("https://klasma.github.io/Logging_1884/klagomålsmail/A 16289-2026 FSC-klagomål mail.docx", "A 16289-2026")</f>
        <v/>
      </c>
      <c r="X43">
        <f>HYPERLINK("https://klasma.github.io/Logging_1884/tillsyn/A 16289-2026 tillsynsbegäran.docx", "A 16289-2026")</f>
        <v/>
      </c>
      <c r="Y43">
        <f>HYPERLINK("https://klasma.github.io/Logging_1884/tillsynsmail/A 16289-2026 tillsynsbegäran mail.docx", "A 16289-2026")</f>
        <v/>
      </c>
      <c r="Z43">
        <f>HYPERLINK("https://klasma.github.io/Logging_1884/fåglar/A 16289-2026 prioriterade fågelarter.docx", "A 16289-2026")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46161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46161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49633-2022</t>
        </is>
      </c>
      <c r="B49" s="1" t="n">
        <v>44862.43092592592</v>
      </c>
      <c r="C49" s="1" t="n">
        <v>46161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46161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46161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46161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46161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46161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46161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46161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46161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46161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46161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46161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46161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46161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46161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46161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46161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46161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46161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46161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46161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20565-2025</t>
        </is>
      </c>
      <c r="B86" s="1" t="n">
        <v>45775.66307870371</v>
      </c>
      <c r="C86" s="1" t="n">
        <v>46161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62592-2021</t>
        </is>
      </c>
      <c r="B87" s="1" t="n">
        <v>44503</v>
      </c>
      <c r="C87" s="1" t="n">
        <v>46161</v>
      </c>
      <c r="D87" t="inlineStr">
        <is>
          <t>ÖREBRO LÄN</t>
        </is>
      </c>
      <c r="E87" t="inlineStr">
        <is>
          <t>NORA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48229-2025</t>
        </is>
      </c>
      <c r="B88" s="1" t="n">
        <v>45933.51694444445</v>
      </c>
      <c r="C88" s="1" t="n">
        <v>46161</v>
      </c>
      <c r="D88" t="inlineStr">
        <is>
          <t>ÖREBRO LÄN</t>
        </is>
      </c>
      <c r="E88" t="inlineStr">
        <is>
          <t>NORA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11888-2025</t>
        </is>
      </c>
      <c r="B89" s="1" t="n">
        <v>45728.45688657407</v>
      </c>
      <c r="C89" s="1" t="n">
        <v>46161</v>
      </c>
      <c r="D89" t="inlineStr">
        <is>
          <t>ÖREBRO LÄN</t>
        </is>
      </c>
      <c r="E89" t="inlineStr">
        <is>
          <t>NORA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12815-2024</t>
        </is>
      </c>
      <c r="B90" s="1" t="n">
        <v>45384.66650462963</v>
      </c>
      <c r="C90" s="1" t="n">
        <v>46161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46161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4910-2023</t>
        </is>
      </c>
      <c r="B92" s="1" t="n">
        <v>44958.38488425926</v>
      </c>
      <c r="C92" s="1" t="n">
        <v>46161</v>
      </c>
      <c r="D92" t="inlineStr">
        <is>
          <t>ÖREBRO LÄN</t>
        </is>
      </c>
      <c r="E92" t="inlineStr">
        <is>
          <t>NORA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34164-2022</t>
        </is>
      </c>
      <c r="B93" s="1" t="n">
        <v>44791.58640046296</v>
      </c>
      <c r="C93" s="1" t="n">
        <v>46161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48775-2025</t>
        </is>
      </c>
      <c r="B94" s="1" t="n">
        <v>45937.00422453704</v>
      </c>
      <c r="C94" s="1" t="n">
        <v>46161</v>
      </c>
      <c r="D94" t="inlineStr">
        <is>
          <t>ÖREBRO LÄN</t>
        </is>
      </c>
      <c r="E94" t="inlineStr">
        <is>
          <t>NORA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45216-2023</t>
        </is>
      </c>
      <c r="B95" s="1" t="n">
        <v>45191</v>
      </c>
      <c r="C95" s="1" t="n">
        <v>46161</v>
      </c>
      <c r="D95" t="inlineStr">
        <is>
          <t>ÖREBRO LÄN</t>
        </is>
      </c>
      <c r="E95" t="inlineStr">
        <is>
          <t>NORA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21846-2025</t>
        </is>
      </c>
      <c r="B96" s="1" t="n">
        <v>45784.33967592593</v>
      </c>
      <c r="C96" s="1" t="n">
        <v>46161</v>
      </c>
      <c r="D96" t="inlineStr">
        <is>
          <t>ÖREBRO LÄN</t>
        </is>
      </c>
      <c r="E96" t="inlineStr">
        <is>
          <t>NORA</t>
        </is>
      </c>
      <c r="G96" t="n">
        <v>14.6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46161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61952-2023</t>
        </is>
      </c>
      <c r="B98" s="1" t="n">
        <v>45266.56415509259</v>
      </c>
      <c r="C98" s="1" t="n">
        <v>46161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16281-2024</t>
        </is>
      </c>
      <c r="B99" s="1" t="n">
        <v>45407.36091435186</v>
      </c>
      <c r="C99" s="1" t="n">
        <v>46161</v>
      </c>
      <c r="D99" t="inlineStr">
        <is>
          <t>ÖREBRO LÄN</t>
        </is>
      </c>
      <c r="E99" t="inlineStr">
        <is>
          <t>NORA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26023-2023</t>
        </is>
      </c>
      <c r="B100" s="1" t="n">
        <v>45091.2925</v>
      </c>
      <c r="C100" s="1" t="n">
        <v>46161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26320-2022</t>
        </is>
      </c>
      <c r="B101" s="1" t="n">
        <v>44735.60184027778</v>
      </c>
      <c r="C101" s="1" t="n">
        <v>46161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53938-2023</t>
        </is>
      </c>
      <c r="B102" s="1" t="n">
        <v>45231</v>
      </c>
      <c r="C102" s="1" t="n">
        <v>46161</v>
      </c>
      <c r="D102" t="inlineStr">
        <is>
          <t>ÖREBRO LÄN</t>
        </is>
      </c>
      <c r="E102" t="inlineStr">
        <is>
          <t>NORA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1566-2025</t>
        </is>
      </c>
      <c r="B103" s="1" t="n">
        <v>45670</v>
      </c>
      <c r="C103" s="1" t="n">
        <v>46161</v>
      </c>
      <c r="D103" t="inlineStr">
        <is>
          <t>ÖREBRO LÄN</t>
        </is>
      </c>
      <c r="E103" t="inlineStr">
        <is>
          <t>NORA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39837-2025</t>
        </is>
      </c>
      <c r="B104" s="1" t="n">
        <v>45891.56561342593</v>
      </c>
      <c r="C104" s="1" t="n">
        <v>46161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29669-2025</t>
        </is>
      </c>
      <c r="B105" s="1" t="n">
        <v>45825</v>
      </c>
      <c r="C105" s="1" t="n">
        <v>46161</v>
      </c>
      <c r="D105" t="inlineStr">
        <is>
          <t>ÖREBRO LÄN</t>
        </is>
      </c>
      <c r="E105" t="inlineStr">
        <is>
          <t>NORA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54604-2024</t>
        </is>
      </c>
      <c r="B106" s="1" t="n">
        <v>45617.683125</v>
      </c>
      <c r="C106" s="1" t="n">
        <v>46161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40082-2025</t>
        </is>
      </c>
      <c r="B107" s="1" t="n">
        <v>45894.46731481481</v>
      </c>
      <c r="C107" s="1" t="n">
        <v>46161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13563-2024</t>
        </is>
      </c>
      <c r="B108" s="1" t="n">
        <v>45388.99935185185</v>
      </c>
      <c r="C108" s="1" t="n">
        <v>46161</v>
      </c>
      <c r="D108" t="inlineStr">
        <is>
          <t>ÖREBRO LÄN</t>
        </is>
      </c>
      <c r="E108" t="inlineStr">
        <is>
          <t>NORA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16085-2024</t>
        </is>
      </c>
      <c r="B109" s="1" t="n">
        <v>45406.37230324074</v>
      </c>
      <c r="C109" s="1" t="n">
        <v>46161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49671-2025</t>
        </is>
      </c>
      <c r="B110" s="1" t="n">
        <v>45939</v>
      </c>
      <c r="C110" s="1" t="n">
        <v>46161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49676-2025</t>
        </is>
      </c>
      <c r="B111" s="1" t="n">
        <v>45939</v>
      </c>
      <c r="C111" s="1" t="n">
        <v>46161</v>
      </c>
      <c r="D111" t="inlineStr">
        <is>
          <t>ÖREBRO LÄN</t>
        </is>
      </c>
      <c r="E111" t="inlineStr">
        <is>
          <t>NORA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51002-2025</t>
        </is>
      </c>
      <c r="B112" s="1" t="n">
        <v>45947.36173611111</v>
      </c>
      <c r="C112" s="1" t="n">
        <v>46161</v>
      </c>
      <c r="D112" t="inlineStr">
        <is>
          <t>ÖREBRO LÄN</t>
        </is>
      </c>
      <c r="E112" t="inlineStr">
        <is>
          <t>NORA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49675-2025</t>
        </is>
      </c>
      <c r="B113" s="1" t="n">
        <v>45939</v>
      </c>
      <c r="C113" s="1" t="n">
        <v>46161</v>
      </c>
      <c r="D113" t="inlineStr">
        <is>
          <t>ÖREBRO LÄN</t>
        </is>
      </c>
      <c r="E113" t="inlineStr">
        <is>
          <t>NORA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17344-2024</t>
        </is>
      </c>
      <c r="B114" s="1" t="n">
        <v>45414.58052083333</v>
      </c>
      <c r="C114" s="1" t="n">
        <v>46161</v>
      </c>
      <c r="D114" t="inlineStr">
        <is>
          <t>ÖREBRO LÄN</t>
        </is>
      </c>
      <c r="E114" t="inlineStr">
        <is>
          <t>NORA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24389-2024</t>
        </is>
      </c>
      <c r="B115" s="1" t="n">
        <v>45457.63585648148</v>
      </c>
      <c r="C115" s="1" t="n">
        <v>46161</v>
      </c>
      <c r="D115" t="inlineStr">
        <is>
          <t>ÖREBRO LÄN</t>
        </is>
      </c>
      <c r="E115" t="inlineStr">
        <is>
          <t>NORA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55766-2024</t>
        </is>
      </c>
      <c r="B116" s="1" t="n">
        <v>45623.37702546296</v>
      </c>
      <c r="C116" s="1" t="n">
        <v>46161</v>
      </c>
      <c r="D116" t="inlineStr">
        <is>
          <t>ÖREBRO LÄN</t>
        </is>
      </c>
      <c r="E116" t="inlineStr">
        <is>
          <t>NORA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52879-2023</t>
        </is>
      </c>
      <c r="B117" s="1" t="n">
        <v>45226.47349537037</v>
      </c>
      <c r="C117" s="1" t="n">
        <v>46161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41588-2025</t>
        </is>
      </c>
      <c r="B118" s="1" t="n">
        <v>45901.63114583334</v>
      </c>
      <c r="C118" s="1" t="n">
        <v>46161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9457-2025</t>
        </is>
      </c>
      <c r="B119" s="1" t="n">
        <v>45714</v>
      </c>
      <c r="C119" s="1" t="n">
        <v>46161</v>
      </c>
      <c r="D119" t="inlineStr">
        <is>
          <t>ÖREBRO LÄN</t>
        </is>
      </c>
      <c r="E119" t="inlineStr">
        <is>
          <t>NORA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38179-2023</t>
        </is>
      </c>
      <c r="B120" s="1" t="n">
        <v>45161.45337962963</v>
      </c>
      <c r="C120" s="1" t="n">
        <v>46161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51245-2025</t>
        </is>
      </c>
      <c r="B121" s="1" t="n">
        <v>45947.80872685185</v>
      </c>
      <c r="C121" s="1" t="n">
        <v>46161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51246-2025</t>
        </is>
      </c>
      <c r="B122" s="1" t="n">
        <v>45947.81226851852</v>
      </c>
      <c r="C122" s="1" t="n">
        <v>46161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43535-2023</t>
        </is>
      </c>
      <c r="B123" s="1" t="n">
        <v>45184</v>
      </c>
      <c r="C123" s="1" t="n">
        <v>46161</v>
      </c>
      <c r="D123" t="inlineStr">
        <is>
          <t>ÖREBRO LÄN</t>
        </is>
      </c>
      <c r="E123" t="inlineStr">
        <is>
          <t>NORA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35675-2023</t>
        </is>
      </c>
      <c r="B124" s="1" t="n">
        <v>45147</v>
      </c>
      <c r="C124" s="1" t="n">
        <v>46161</v>
      </c>
      <c r="D124" t="inlineStr">
        <is>
          <t>ÖREBRO LÄN</t>
        </is>
      </c>
      <c r="E124" t="inlineStr">
        <is>
          <t>NORA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39257-2023</t>
        </is>
      </c>
      <c r="B125" s="1" t="n">
        <v>45166.48097222222</v>
      </c>
      <c r="C125" s="1" t="n">
        <v>46161</v>
      </c>
      <c r="D125" t="inlineStr">
        <is>
          <t>ÖREBRO LÄN</t>
        </is>
      </c>
      <c r="E125" t="inlineStr">
        <is>
          <t>NORA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5562-2025</t>
        </is>
      </c>
      <c r="B126" s="1" t="n">
        <v>45693</v>
      </c>
      <c r="C126" s="1" t="n">
        <v>46161</v>
      </c>
      <c r="D126" t="inlineStr">
        <is>
          <t>ÖREBRO LÄN</t>
        </is>
      </c>
      <c r="E126" t="inlineStr">
        <is>
          <t>NORA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5590-2025</t>
        </is>
      </c>
      <c r="B127" s="1" t="n">
        <v>45693</v>
      </c>
      <c r="C127" s="1" t="n">
        <v>46161</v>
      </c>
      <c r="D127" t="inlineStr">
        <is>
          <t>ÖREBRO LÄN</t>
        </is>
      </c>
      <c r="E127" t="inlineStr">
        <is>
          <t>NORA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44386.38070601852</v>
      </c>
      <c r="C128" s="1" t="n">
        <v>46161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42056-2025</t>
        </is>
      </c>
      <c r="B129" s="1" t="n">
        <v>45903.64190972222</v>
      </c>
      <c r="C129" s="1" t="n">
        <v>46161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59607-2024</t>
        </is>
      </c>
      <c r="B130" s="1" t="n">
        <v>45638.74914351852</v>
      </c>
      <c r="C130" s="1" t="n">
        <v>46161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42050-2025</t>
        </is>
      </c>
      <c r="B131" s="1" t="n">
        <v>45903.63047453704</v>
      </c>
      <c r="C131" s="1" t="n">
        <v>46161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34759-2024</t>
        </is>
      </c>
      <c r="B132" s="1" t="n">
        <v>45526</v>
      </c>
      <c r="C132" s="1" t="n">
        <v>46161</v>
      </c>
      <c r="D132" t="inlineStr">
        <is>
          <t>ÖREBRO LÄN</t>
        </is>
      </c>
      <c r="E132" t="inlineStr">
        <is>
          <t>NORA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41939-2025</t>
        </is>
      </c>
      <c r="B133" s="1" t="n">
        <v>45903.44396990741</v>
      </c>
      <c r="C133" s="1" t="n">
        <v>46161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42049-2025</t>
        </is>
      </c>
      <c r="B134" s="1" t="n">
        <v>45903.63034722222</v>
      </c>
      <c r="C134" s="1" t="n">
        <v>46161</v>
      </c>
      <c r="D134" t="inlineStr">
        <is>
          <t>ÖREBRO LÄN</t>
        </is>
      </c>
      <c r="E134" t="inlineStr">
        <is>
          <t>NORA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60301-2023</t>
        </is>
      </c>
      <c r="B135" s="1" t="n">
        <v>45258</v>
      </c>
      <c r="C135" s="1" t="n">
        <v>46161</v>
      </c>
      <c r="D135" t="inlineStr">
        <is>
          <t>ÖREBRO LÄN</t>
        </is>
      </c>
      <c r="E135" t="inlineStr">
        <is>
          <t>NORA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26021-2023</t>
        </is>
      </c>
      <c r="B136" s="1" t="n">
        <v>45091.29033564815</v>
      </c>
      <c r="C136" s="1" t="n">
        <v>46161</v>
      </c>
      <c r="D136" t="inlineStr">
        <is>
          <t>ÖREBRO LÄN</t>
        </is>
      </c>
      <c r="E136" t="inlineStr">
        <is>
          <t>NORA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52303-2024</t>
        </is>
      </c>
      <c r="B137" s="1" t="n">
        <v>45608.75231481482</v>
      </c>
      <c r="C137" s="1" t="n">
        <v>46161</v>
      </c>
      <c r="D137" t="inlineStr">
        <is>
          <t>ÖREBRO LÄN</t>
        </is>
      </c>
      <c r="E137" t="inlineStr">
        <is>
          <t>NORA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23277-2024</t>
        </is>
      </c>
      <c r="B138" s="1" t="n">
        <v>45453.40982638889</v>
      </c>
      <c r="C138" s="1" t="n">
        <v>46161</v>
      </c>
      <c r="D138" t="inlineStr">
        <is>
          <t>ÖREBRO LÄN</t>
        </is>
      </c>
      <c r="E138" t="inlineStr">
        <is>
          <t>NORA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46161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26657-2025</t>
        </is>
      </c>
      <c r="B140" s="1" t="n">
        <v>45810.39180555556</v>
      </c>
      <c r="C140" s="1" t="n">
        <v>46161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46161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24820-2024</t>
        </is>
      </c>
      <c r="B142" s="1" t="n">
        <v>45461.3465625</v>
      </c>
      <c r="C142" s="1" t="n">
        <v>46161</v>
      </c>
      <c r="D142" t="inlineStr">
        <is>
          <t>ÖREBRO LÄN</t>
        </is>
      </c>
      <c r="E142" t="inlineStr">
        <is>
          <t>NORA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39707-2022</t>
        </is>
      </c>
      <c r="B143" s="1" t="n">
        <v>44818.95277777778</v>
      </c>
      <c r="C143" s="1" t="n">
        <v>46161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24821-2024</t>
        </is>
      </c>
      <c r="B144" s="1" t="n">
        <v>45461.34765046297</v>
      </c>
      <c r="C144" s="1" t="n">
        <v>46161</v>
      </c>
      <c r="D144" t="inlineStr">
        <is>
          <t>ÖREBRO LÄN</t>
        </is>
      </c>
      <c r="E144" t="inlineStr">
        <is>
          <t>NORA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24833-2024</t>
        </is>
      </c>
      <c r="B145" s="1" t="n">
        <v>45461.39246527778</v>
      </c>
      <c r="C145" s="1" t="n">
        <v>46161</v>
      </c>
      <c r="D145" t="inlineStr">
        <is>
          <t>ÖREBRO LÄN</t>
        </is>
      </c>
      <c r="E145" t="inlineStr">
        <is>
          <t>NORA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27844-2025</t>
        </is>
      </c>
      <c r="B146" s="1" t="n">
        <v>45817.39009259259</v>
      </c>
      <c r="C146" s="1" t="n">
        <v>46161</v>
      </c>
      <c r="D146" t="inlineStr">
        <is>
          <t>ÖREBRO LÄN</t>
        </is>
      </c>
      <c r="E146" t="inlineStr">
        <is>
          <t>NORA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41696-2023</t>
        </is>
      </c>
      <c r="B147" s="1" t="n">
        <v>45176</v>
      </c>
      <c r="C147" s="1" t="n">
        <v>46161</v>
      </c>
      <c r="D147" t="inlineStr">
        <is>
          <t>ÖREBRO LÄN</t>
        </is>
      </c>
      <c r="E147" t="inlineStr">
        <is>
          <t>NORA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16109-2024</t>
        </is>
      </c>
      <c r="B148" s="1" t="n">
        <v>45406.46753472222</v>
      </c>
      <c r="C148" s="1" t="n">
        <v>46161</v>
      </c>
      <c r="D148" t="inlineStr">
        <is>
          <t>ÖREBRO LÄN</t>
        </is>
      </c>
      <c r="E148" t="inlineStr">
        <is>
          <t>NORA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27878-2025</t>
        </is>
      </c>
      <c r="B149" s="1" t="n">
        <v>45817.443125</v>
      </c>
      <c r="C149" s="1" t="n">
        <v>46161</v>
      </c>
      <c r="D149" t="inlineStr">
        <is>
          <t>ÖREBRO LÄN</t>
        </is>
      </c>
      <c r="E149" t="inlineStr">
        <is>
          <t>NORA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12183-2025</t>
        </is>
      </c>
      <c r="B150" s="1" t="n">
        <v>45729.46353009259</v>
      </c>
      <c r="C150" s="1" t="n">
        <v>46161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46161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52380-2025</t>
        </is>
      </c>
      <c r="B152" s="1" t="n">
        <v>45953.94951388889</v>
      </c>
      <c r="C152" s="1" t="n">
        <v>46161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44481.78949074074</v>
      </c>
      <c r="C153" s="1" t="n">
        <v>46161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57316-2022</t>
        </is>
      </c>
      <c r="B154" s="1" t="n">
        <v>44896.32079861111</v>
      </c>
      <c r="C154" s="1" t="n">
        <v>46161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43843-2023</t>
        </is>
      </c>
      <c r="B155" s="1" t="n">
        <v>45187</v>
      </c>
      <c r="C155" s="1" t="n">
        <v>46161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43919-2023</t>
        </is>
      </c>
      <c r="B156" s="1" t="n">
        <v>45182</v>
      </c>
      <c r="C156" s="1" t="n">
        <v>46161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12907-2025</t>
        </is>
      </c>
      <c r="B157" s="1" t="n">
        <v>45733.8203587963</v>
      </c>
      <c r="C157" s="1" t="n">
        <v>46161</v>
      </c>
      <c r="D157" t="inlineStr">
        <is>
          <t>ÖREBRO LÄN</t>
        </is>
      </c>
      <c r="E157" t="inlineStr">
        <is>
          <t>NORA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64090-2023</t>
        </is>
      </c>
      <c r="B158" s="1" t="n">
        <v>45279.43923611111</v>
      </c>
      <c r="C158" s="1" t="n">
        <v>46161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47030-2025</t>
        </is>
      </c>
      <c r="B159" s="1" t="n">
        <v>45929.58944444444</v>
      </c>
      <c r="C159" s="1" t="n">
        <v>46161</v>
      </c>
      <c r="D159" t="inlineStr">
        <is>
          <t>ÖREBRO LÄN</t>
        </is>
      </c>
      <c r="E159" t="inlineStr">
        <is>
          <t>NORA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5049-2022</t>
        </is>
      </c>
      <c r="B160" s="1" t="n">
        <v>44593</v>
      </c>
      <c r="C160" s="1" t="n">
        <v>46161</v>
      </c>
      <c r="D160" t="inlineStr">
        <is>
          <t>ÖREBRO LÄN</t>
        </is>
      </c>
      <c r="E160" t="inlineStr">
        <is>
          <t>NORA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59056-2024</t>
        </is>
      </c>
      <c r="B161" s="1" t="n">
        <v>45636</v>
      </c>
      <c r="C161" s="1" t="n">
        <v>46161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25723-2023</t>
        </is>
      </c>
      <c r="B162" s="1" t="n">
        <v>45090.3674537037</v>
      </c>
      <c r="C162" s="1" t="n">
        <v>46161</v>
      </c>
      <c r="D162" t="inlineStr">
        <is>
          <t>ÖREBRO LÄN</t>
        </is>
      </c>
      <c r="E162" t="inlineStr">
        <is>
          <t>NORA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9295-2025</t>
        </is>
      </c>
      <c r="B163" s="1" t="n">
        <v>45714</v>
      </c>
      <c r="C163" s="1" t="n">
        <v>46161</v>
      </c>
      <c r="D163" t="inlineStr">
        <is>
          <t>ÖREBRO LÄN</t>
        </is>
      </c>
      <c r="E163" t="inlineStr">
        <is>
          <t>NORA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4723-2023</t>
        </is>
      </c>
      <c r="B164" s="1" t="n">
        <v>44957.51490740741</v>
      </c>
      <c r="C164" s="1" t="n">
        <v>46161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32501-2025</t>
        </is>
      </c>
      <c r="B165" s="1" t="n">
        <v>45838.46260416666</v>
      </c>
      <c r="C165" s="1" t="n">
        <v>46161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53129-2023</t>
        </is>
      </c>
      <c r="B166" s="1" t="n">
        <v>45229</v>
      </c>
      <c r="C166" s="1" t="n">
        <v>46161</v>
      </c>
      <c r="D166" t="inlineStr">
        <is>
          <t>ÖREBRO LÄN</t>
        </is>
      </c>
      <c r="E166" t="inlineStr">
        <is>
          <t>NORA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46688-2023</t>
        </is>
      </c>
      <c r="B167" s="1" t="n">
        <v>45198.51881944444</v>
      </c>
      <c r="C167" s="1" t="n">
        <v>46161</v>
      </c>
      <c r="D167" t="inlineStr">
        <is>
          <t>ÖREBRO LÄN</t>
        </is>
      </c>
      <c r="E167" t="inlineStr">
        <is>
          <t>NORA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12646-2024</t>
        </is>
      </c>
      <c r="B168" s="1" t="n">
        <v>45384.34563657407</v>
      </c>
      <c r="C168" s="1" t="n">
        <v>46161</v>
      </c>
      <c r="D168" t="inlineStr">
        <is>
          <t>ÖREBRO LÄN</t>
        </is>
      </c>
      <c r="E168" t="inlineStr">
        <is>
          <t>NORA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8589-2022</t>
        </is>
      </c>
      <c r="B169" s="1" t="n">
        <v>44613.55984953704</v>
      </c>
      <c r="C169" s="1" t="n">
        <v>46161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34835-2025</t>
        </is>
      </c>
      <c r="B170" s="1" t="n">
        <v>45849.38855324074</v>
      </c>
      <c r="C170" s="1" t="n">
        <v>46161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24822-2024</t>
        </is>
      </c>
      <c r="B171" s="1" t="n">
        <v>45461.34818287037</v>
      </c>
      <c r="C171" s="1" t="n">
        <v>46161</v>
      </c>
      <c r="D171" t="inlineStr">
        <is>
          <t>ÖREBRO LÄN</t>
        </is>
      </c>
      <c r="E171" t="inlineStr">
        <is>
          <t>NORA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34824-2025</t>
        </is>
      </c>
      <c r="B172" s="1" t="n">
        <v>45849.38061342593</v>
      </c>
      <c r="C172" s="1" t="n">
        <v>46161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34827-2025</t>
        </is>
      </c>
      <c r="B173" s="1" t="n">
        <v>45849.38547453703</v>
      </c>
      <c r="C173" s="1" t="n">
        <v>46161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54595-2025</t>
        </is>
      </c>
      <c r="B174" s="1" t="n">
        <v>45965.7556712963</v>
      </c>
      <c r="C174" s="1" t="n">
        <v>46161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34825-2025</t>
        </is>
      </c>
      <c r="B175" s="1" t="n">
        <v>45849.38262731482</v>
      </c>
      <c r="C175" s="1" t="n">
        <v>46161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14477-2025</t>
        </is>
      </c>
      <c r="B176" s="1" t="n">
        <v>45741.58723379629</v>
      </c>
      <c r="C176" s="1" t="n">
        <v>46161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14482-2025</t>
        </is>
      </c>
      <c r="B177" s="1" t="n">
        <v>45741.59662037037</v>
      </c>
      <c r="C177" s="1" t="n">
        <v>46161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55035-2025</t>
        </is>
      </c>
      <c r="B178" s="1" t="n">
        <v>45967.64612268518</v>
      </c>
      <c r="C178" s="1" t="n">
        <v>46161</v>
      </c>
      <c r="D178" t="inlineStr">
        <is>
          <t>ÖREBRO LÄN</t>
        </is>
      </c>
      <c r="E178" t="inlineStr">
        <is>
          <t>NORA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56904-2024</t>
        </is>
      </c>
      <c r="B179" s="1" t="n">
        <v>45628.58696759259</v>
      </c>
      <c r="C179" s="1" t="n">
        <v>46161</v>
      </c>
      <c r="D179" t="inlineStr">
        <is>
          <t>ÖREBRO LÄN</t>
        </is>
      </c>
      <c r="E179" t="inlineStr">
        <is>
          <t>NORA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5674-2023</t>
        </is>
      </c>
      <c r="B180" s="1" t="n">
        <v>44960.66104166667</v>
      </c>
      <c r="C180" s="1" t="n">
        <v>46161</v>
      </c>
      <c r="D180" t="inlineStr">
        <is>
          <t>ÖREBRO LÄN</t>
        </is>
      </c>
      <c r="E180" t="inlineStr">
        <is>
          <t>NORA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46544-2021</t>
        </is>
      </c>
      <c r="B181" s="1" t="n">
        <v>44445</v>
      </c>
      <c r="C181" s="1" t="n">
        <v>46161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36089-2025</t>
        </is>
      </c>
      <c r="B182" s="1" t="n">
        <v>45866</v>
      </c>
      <c r="C182" s="1" t="n">
        <v>46161</v>
      </c>
      <c r="D182" t="inlineStr">
        <is>
          <t>ÖREBRO LÄN</t>
        </is>
      </c>
      <c r="E182" t="inlineStr">
        <is>
          <t>NORA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45159-2023</t>
        </is>
      </c>
      <c r="B183" s="1" t="n">
        <v>45191.49001157407</v>
      </c>
      <c r="C183" s="1" t="n">
        <v>46161</v>
      </c>
      <c r="D183" t="inlineStr">
        <is>
          <t>ÖREBRO LÄN</t>
        </is>
      </c>
      <c r="E183" t="inlineStr">
        <is>
          <t>NORA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55869-2025</t>
        </is>
      </c>
      <c r="B184" s="1" t="n">
        <v>45973.35285879629</v>
      </c>
      <c r="C184" s="1" t="n">
        <v>46161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49498-2024</t>
        </is>
      </c>
      <c r="B185" s="1" t="n">
        <v>45596.3672337963</v>
      </c>
      <c r="C185" s="1" t="n">
        <v>46161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56565-2025</t>
        </is>
      </c>
      <c r="B186" s="1" t="n">
        <v>45974</v>
      </c>
      <c r="C186" s="1" t="n">
        <v>46161</v>
      </c>
      <c r="D186" t="inlineStr">
        <is>
          <t>ÖREBRO LÄN</t>
        </is>
      </c>
      <c r="E186" t="inlineStr">
        <is>
          <t>NORA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58829-2023</t>
        </is>
      </c>
      <c r="B187" s="1" t="n">
        <v>45252</v>
      </c>
      <c r="C187" s="1" t="n">
        <v>46161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3309-2024</t>
        </is>
      </c>
      <c r="B188" s="1" t="n">
        <v>45317</v>
      </c>
      <c r="C188" s="1" t="n">
        <v>46161</v>
      </c>
      <c r="D188" t="inlineStr">
        <is>
          <t>ÖREBRO LÄN</t>
        </is>
      </c>
      <c r="E188" t="inlineStr">
        <is>
          <t>NORA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46198-2023</t>
        </is>
      </c>
      <c r="B189" s="1" t="n">
        <v>45196</v>
      </c>
      <c r="C189" s="1" t="n">
        <v>46161</v>
      </c>
      <c r="D189" t="inlineStr">
        <is>
          <t>ÖREBRO LÄN</t>
        </is>
      </c>
      <c r="E189" t="inlineStr">
        <is>
          <t>NORA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36064-2023</t>
        </is>
      </c>
      <c r="B190" s="1" t="n">
        <v>45149</v>
      </c>
      <c r="C190" s="1" t="n">
        <v>46161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37550-2025</t>
        </is>
      </c>
      <c r="B191" s="1" t="n">
        <v>45879.91046296297</v>
      </c>
      <c r="C191" s="1" t="n">
        <v>46161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11864-2025</t>
        </is>
      </c>
      <c r="B192" s="1" t="n">
        <v>45728.41668981482</v>
      </c>
      <c r="C192" s="1" t="n">
        <v>46161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43254-2022</t>
        </is>
      </c>
      <c r="B193" s="1" t="n">
        <v>44834</v>
      </c>
      <c r="C193" s="1" t="n">
        <v>46161</v>
      </c>
      <c r="D193" t="inlineStr">
        <is>
          <t>ÖREBRO LÄN</t>
        </is>
      </c>
      <c r="E193" t="inlineStr">
        <is>
          <t>NORA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16529-2024</t>
        </is>
      </c>
      <c r="B194" s="1" t="n">
        <v>45408.42216435185</v>
      </c>
      <c r="C194" s="1" t="n">
        <v>46161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58521-2025</t>
        </is>
      </c>
      <c r="B195" s="1" t="n">
        <v>45985</v>
      </c>
      <c r="C195" s="1" t="n">
        <v>46161</v>
      </c>
      <c r="D195" t="inlineStr">
        <is>
          <t>ÖREBRO LÄN</t>
        </is>
      </c>
      <c r="E195" t="inlineStr">
        <is>
          <t>NORA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60152-2025</t>
        </is>
      </c>
      <c r="B196" s="1" t="n">
        <v>45994</v>
      </c>
      <c r="C196" s="1" t="n">
        <v>46161</v>
      </c>
      <c r="D196" t="inlineStr">
        <is>
          <t>ÖREBRO LÄN</t>
        </is>
      </c>
      <c r="E196" t="inlineStr">
        <is>
          <t>NORA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60169-2025</t>
        </is>
      </c>
      <c r="B197" s="1" t="n">
        <v>45994</v>
      </c>
      <c r="C197" s="1" t="n">
        <v>46161</v>
      </c>
      <c r="D197" t="inlineStr">
        <is>
          <t>ÖREBRO LÄN</t>
        </is>
      </c>
      <c r="E197" t="inlineStr">
        <is>
          <t>NORA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60166-2025</t>
        </is>
      </c>
      <c r="B198" s="1" t="n">
        <v>45994</v>
      </c>
      <c r="C198" s="1" t="n">
        <v>46161</v>
      </c>
      <c r="D198" t="inlineStr">
        <is>
          <t>ÖREBRO LÄN</t>
        </is>
      </c>
      <c r="E198" t="inlineStr">
        <is>
          <t>NORA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60548-2025</t>
        </is>
      </c>
      <c r="B199" s="1" t="n">
        <v>45995.71252314815</v>
      </c>
      <c r="C199" s="1" t="n">
        <v>46161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64089-2023</t>
        </is>
      </c>
      <c r="B200" s="1" t="n">
        <v>45279</v>
      </c>
      <c r="C200" s="1" t="n">
        <v>46161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45229-2023</t>
        </is>
      </c>
      <c r="B201" s="1" t="n">
        <v>45191</v>
      </c>
      <c r="C201" s="1" t="n">
        <v>46161</v>
      </c>
      <c r="D201" t="inlineStr">
        <is>
          <t>ÖREBRO LÄN</t>
        </is>
      </c>
      <c r="E201" t="inlineStr">
        <is>
          <t>NORA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10079-2024</t>
        </is>
      </c>
      <c r="B202" s="1" t="n">
        <v>45364.42604166667</v>
      </c>
      <c r="C202" s="1" t="n">
        <v>46161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60892-2025</t>
        </is>
      </c>
      <c r="B203" s="1" t="n">
        <v>45999.57278935185</v>
      </c>
      <c r="C203" s="1" t="n">
        <v>46161</v>
      </c>
      <c r="D203" t="inlineStr">
        <is>
          <t>ÖREBRO LÄN</t>
        </is>
      </c>
      <c r="E203" t="inlineStr">
        <is>
          <t>NORA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60873-2025</t>
        </is>
      </c>
      <c r="B204" s="1" t="n">
        <v>45999.55505787037</v>
      </c>
      <c r="C204" s="1" t="n">
        <v>46161</v>
      </c>
      <c r="D204" t="inlineStr">
        <is>
          <t>ÖREBRO LÄN</t>
        </is>
      </c>
      <c r="E204" t="inlineStr">
        <is>
          <t>NORA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60843-2025</t>
        </is>
      </c>
      <c r="B205" s="1" t="n">
        <v>45999.48747685185</v>
      </c>
      <c r="C205" s="1" t="n">
        <v>46161</v>
      </c>
      <c r="D205" t="inlineStr">
        <is>
          <t>ÖREBRO LÄN</t>
        </is>
      </c>
      <c r="E205" t="inlineStr">
        <is>
          <t>NORA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49959-2023</t>
        </is>
      </c>
      <c r="B206" s="1" t="n">
        <v>45215.38530092593</v>
      </c>
      <c r="C206" s="1" t="n">
        <v>46161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57639-2023</t>
        </is>
      </c>
      <c r="B207" s="1" t="n">
        <v>45246</v>
      </c>
      <c r="C207" s="1" t="n">
        <v>46161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16957-2025</t>
        </is>
      </c>
      <c r="B208" s="1" t="n">
        <v>45755.44732638889</v>
      </c>
      <c r="C208" s="1" t="n">
        <v>46161</v>
      </c>
      <c r="D208" t="inlineStr">
        <is>
          <t>ÖREBRO LÄN</t>
        </is>
      </c>
      <c r="E208" t="inlineStr">
        <is>
          <t>NORA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46161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29112-2023</t>
        </is>
      </c>
      <c r="B210" s="1" t="n">
        <v>45105.39409722222</v>
      </c>
      <c r="C210" s="1" t="n">
        <v>46161</v>
      </c>
      <c r="D210" t="inlineStr">
        <is>
          <t>ÖREBRO LÄN</t>
        </is>
      </c>
      <c r="E210" t="inlineStr">
        <is>
          <t>NORA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48610-2023</t>
        </is>
      </c>
      <c r="B211" s="1" t="n">
        <v>45208</v>
      </c>
      <c r="C211" s="1" t="n">
        <v>46161</v>
      </c>
      <c r="D211" t="inlineStr">
        <is>
          <t>ÖREBRO LÄN</t>
        </is>
      </c>
      <c r="E211" t="inlineStr">
        <is>
          <t>NORA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34206-2022</t>
        </is>
      </c>
      <c r="B212" s="1" t="n">
        <v>44791.65267361111</v>
      </c>
      <c r="C212" s="1" t="n">
        <v>46161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38177-2023</t>
        </is>
      </c>
      <c r="B213" s="1" t="n">
        <v>45161.44978009259</v>
      </c>
      <c r="C213" s="1" t="n">
        <v>46161</v>
      </c>
      <c r="D213" t="inlineStr">
        <is>
          <t>ÖREBRO LÄN</t>
        </is>
      </c>
      <c r="E213" t="inlineStr">
        <is>
          <t>NORA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12699-2023</t>
        </is>
      </c>
      <c r="B214" s="1" t="n">
        <v>45000</v>
      </c>
      <c r="C214" s="1" t="n">
        <v>46161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14315-2025</t>
        </is>
      </c>
      <c r="B215" s="1" t="n">
        <v>45740.72116898148</v>
      </c>
      <c r="C215" s="1" t="n">
        <v>46161</v>
      </c>
      <c r="D215" t="inlineStr">
        <is>
          <t>ÖREBRO LÄN</t>
        </is>
      </c>
      <c r="E215" t="inlineStr">
        <is>
          <t>NORA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16540-2024</t>
        </is>
      </c>
      <c r="B216" s="1" t="n">
        <v>45408.4334837963</v>
      </c>
      <c r="C216" s="1" t="n">
        <v>46161</v>
      </c>
      <c r="D216" t="inlineStr">
        <is>
          <t>ÖREBRO LÄN</t>
        </is>
      </c>
      <c r="E216" t="inlineStr">
        <is>
          <t>NORA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40710-2021</t>
        </is>
      </c>
      <c r="B217" s="1" t="n">
        <v>44420</v>
      </c>
      <c r="C217" s="1" t="n">
        <v>46161</v>
      </c>
      <c r="D217" t="inlineStr">
        <is>
          <t>ÖREBRO LÄN</t>
        </is>
      </c>
      <c r="E217" t="inlineStr">
        <is>
          <t>NORA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2413-2024</t>
        </is>
      </c>
      <c r="B218" s="1" t="n">
        <v>45310</v>
      </c>
      <c r="C218" s="1" t="n">
        <v>46161</v>
      </c>
      <c r="D218" t="inlineStr">
        <is>
          <t>ÖREBRO LÄN</t>
        </is>
      </c>
      <c r="E218" t="inlineStr">
        <is>
          <t>NORA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45645-2022</t>
        </is>
      </c>
      <c r="B219" s="1" t="n">
        <v>44845.65557870371</v>
      </c>
      <c r="C219" s="1" t="n">
        <v>46161</v>
      </c>
      <c r="D219" t="inlineStr">
        <is>
          <t>ÖREBRO LÄN</t>
        </is>
      </c>
      <c r="E219" t="inlineStr">
        <is>
          <t>NORA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40497-2024</t>
        </is>
      </c>
      <c r="B220" s="1" t="n">
        <v>45555.57101851852</v>
      </c>
      <c r="C220" s="1" t="n">
        <v>46161</v>
      </c>
      <c r="D220" t="inlineStr">
        <is>
          <t>ÖREBRO LÄN</t>
        </is>
      </c>
      <c r="E220" t="inlineStr">
        <is>
          <t>NORA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34722-2024</t>
        </is>
      </c>
      <c r="B221" s="1" t="n">
        <v>45526</v>
      </c>
      <c r="C221" s="1" t="n">
        <v>46161</v>
      </c>
      <c r="D221" t="inlineStr">
        <is>
          <t>ÖREBRO LÄN</t>
        </is>
      </c>
      <c r="E221" t="inlineStr">
        <is>
          <t>NORA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27767-2023</t>
        </is>
      </c>
      <c r="B222" s="1" t="n">
        <v>45098.41659722223</v>
      </c>
      <c r="C222" s="1" t="n">
        <v>46161</v>
      </c>
      <c r="D222" t="inlineStr">
        <is>
          <t>ÖREBRO LÄN</t>
        </is>
      </c>
      <c r="E222" t="inlineStr">
        <is>
          <t>NORA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1766-2026</t>
        </is>
      </c>
      <c r="B223" s="1" t="n">
        <v>46034.6880787037</v>
      </c>
      <c r="C223" s="1" t="n">
        <v>46161</v>
      </c>
      <c r="D223" t="inlineStr">
        <is>
          <t>ÖREBRO LÄN</t>
        </is>
      </c>
      <c r="E223" t="inlineStr">
        <is>
          <t>NORA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13585-2024</t>
        </is>
      </c>
      <c r="B224" s="1" t="n">
        <v>45389.85309027778</v>
      </c>
      <c r="C224" s="1" t="n">
        <v>46161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2261-2026</t>
        </is>
      </c>
      <c r="B225" s="1" t="n">
        <v>46036</v>
      </c>
      <c r="C225" s="1" t="n">
        <v>46161</v>
      </c>
      <c r="D225" t="inlineStr">
        <is>
          <t>ÖREBRO LÄN</t>
        </is>
      </c>
      <c r="E225" t="inlineStr">
        <is>
          <t>NORA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4977-2023</t>
        </is>
      </c>
      <c r="B226" s="1" t="n">
        <v>44958.46266203704</v>
      </c>
      <c r="C226" s="1" t="n">
        <v>46161</v>
      </c>
      <c r="D226" t="inlineStr">
        <is>
          <t>ÖREBRO LÄN</t>
        </is>
      </c>
      <c r="E226" t="inlineStr">
        <is>
          <t>NORA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3686-2026</t>
        </is>
      </c>
      <c r="B227" s="1" t="n">
        <v>46043.44011574074</v>
      </c>
      <c r="C227" s="1" t="n">
        <v>46161</v>
      </c>
      <c r="D227" t="inlineStr">
        <is>
          <t>ÖREBRO LÄN</t>
        </is>
      </c>
      <c r="E227" t="inlineStr">
        <is>
          <t>NORA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63825-2023</t>
        </is>
      </c>
      <c r="B228" s="1" t="n">
        <v>45278</v>
      </c>
      <c r="C228" s="1" t="n">
        <v>46161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24818-2024</t>
        </is>
      </c>
      <c r="B229" s="1" t="n">
        <v>45461.33123842593</v>
      </c>
      <c r="C229" s="1" t="n">
        <v>46161</v>
      </c>
      <c r="D229" t="inlineStr">
        <is>
          <t>ÖREBRO LÄN</t>
        </is>
      </c>
      <c r="E229" t="inlineStr">
        <is>
          <t>NORA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1521-2025</t>
        </is>
      </c>
      <c r="B230" s="1" t="n">
        <v>45670</v>
      </c>
      <c r="C230" s="1" t="n">
        <v>46161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53472-2022</t>
        </is>
      </c>
      <c r="B231" s="1" t="n">
        <v>44879</v>
      </c>
      <c r="C231" s="1" t="n">
        <v>46161</v>
      </c>
      <c r="D231" t="inlineStr">
        <is>
          <t>ÖREBRO LÄN</t>
        </is>
      </c>
      <c r="E231" t="inlineStr">
        <is>
          <t>NORA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52379-2023</t>
        </is>
      </c>
      <c r="B232" s="1" t="n">
        <v>45224</v>
      </c>
      <c r="C232" s="1" t="n">
        <v>46161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17352-2024</t>
        </is>
      </c>
      <c r="B233" s="1" t="n">
        <v>45414.5908912037</v>
      </c>
      <c r="C233" s="1" t="n">
        <v>46161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16537-2024</t>
        </is>
      </c>
      <c r="B234" s="1" t="n">
        <v>45408.43247685185</v>
      </c>
      <c r="C234" s="1" t="n">
        <v>46161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16557-2024</t>
        </is>
      </c>
      <c r="B235" s="1" t="n">
        <v>45408.45260416667</v>
      </c>
      <c r="C235" s="1" t="n">
        <v>46161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17770-2022</t>
        </is>
      </c>
      <c r="B236" s="1" t="n">
        <v>44682.64953703704</v>
      </c>
      <c r="C236" s="1" t="n">
        <v>46161</v>
      </c>
      <c r="D236" t="inlineStr">
        <is>
          <t>ÖREBRO LÄN</t>
        </is>
      </c>
      <c r="E236" t="inlineStr">
        <is>
          <t>NORA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46161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46161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7579-2024</t>
        </is>
      </c>
      <c r="B239" s="1" t="n">
        <v>45348</v>
      </c>
      <c r="C239" s="1" t="n">
        <v>46161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27577-2024</t>
        </is>
      </c>
      <c r="B240" s="1" t="n">
        <v>45474.65008101852</v>
      </c>
      <c r="C240" s="1" t="n">
        <v>46161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26022-2023</t>
        </is>
      </c>
      <c r="B241" s="1" t="n">
        <v>45091.29174768519</v>
      </c>
      <c r="C241" s="1" t="n">
        <v>46161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15012-2023</t>
        </is>
      </c>
      <c r="B242" s="1" t="n">
        <v>45015</v>
      </c>
      <c r="C242" s="1" t="n">
        <v>46161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45234-2023</t>
        </is>
      </c>
      <c r="B243" s="1" t="n">
        <v>45191.59268518518</v>
      </c>
      <c r="C243" s="1" t="n">
        <v>46161</v>
      </c>
      <c r="D243" t="inlineStr">
        <is>
          <t>ÖREBRO LÄN</t>
        </is>
      </c>
      <c r="E243" t="inlineStr">
        <is>
          <t>NORA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10441-2026</t>
        </is>
      </c>
      <c r="B244" s="1" t="n">
        <v>46076</v>
      </c>
      <c r="C244" s="1" t="n">
        <v>46161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60397-2022</t>
        </is>
      </c>
      <c r="B245" s="1" t="n">
        <v>44910.90956018519</v>
      </c>
      <c r="C245" s="1" t="n">
        <v>46161</v>
      </c>
      <c r="D245" t="inlineStr">
        <is>
          <t>ÖREBRO LÄN</t>
        </is>
      </c>
      <c r="E245" t="inlineStr">
        <is>
          <t>NORA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17716-2025</t>
        </is>
      </c>
      <c r="B246" s="1" t="n">
        <v>45758.44623842592</v>
      </c>
      <c r="C246" s="1" t="n">
        <v>46161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46161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64026-2025</t>
        </is>
      </c>
      <c r="B248" s="1" t="n">
        <v>46021.47569444445</v>
      </c>
      <c r="C248" s="1" t="n">
        <v>46161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46161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12573-2026</t>
        </is>
      </c>
      <c r="B250" s="1" t="n">
        <v>46090.66447916667</v>
      </c>
      <c r="C250" s="1" t="n">
        <v>46161</v>
      </c>
      <c r="D250" t="inlineStr">
        <is>
          <t>ÖREBRO LÄN</t>
        </is>
      </c>
      <c r="E250" t="inlineStr">
        <is>
          <t>NORA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46161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46161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46161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19553-2026</t>
        </is>
      </c>
      <c r="B254" s="1" t="n">
        <v>46134.40564814815</v>
      </c>
      <c r="C254" s="1" t="n">
        <v>46161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19505-2026</t>
        </is>
      </c>
      <c r="B255" s="1" t="n">
        <v>46134.33460648148</v>
      </c>
      <c r="C255" s="1" t="n">
        <v>46161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19512-2026</t>
        </is>
      </c>
      <c r="B256" s="1" t="n">
        <v>46134.3412962963</v>
      </c>
      <c r="C256" s="1" t="n">
        <v>46161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19502-2026</t>
        </is>
      </c>
      <c r="B257" s="1" t="n">
        <v>46134.33180555556</v>
      </c>
      <c r="C257" s="1" t="n">
        <v>46161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19503-2026</t>
        </is>
      </c>
      <c r="B258" s="1" t="n">
        <v>46134.33292824074</v>
      </c>
      <c r="C258" s="1" t="n">
        <v>46161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19509-2026</t>
        </is>
      </c>
      <c r="B259" s="1" t="n">
        <v>46134.33887731482</v>
      </c>
      <c r="C259" s="1" t="n">
        <v>46161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19504-2026</t>
        </is>
      </c>
      <c r="B260" s="1" t="n">
        <v>46134.33381944444</v>
      </c>
      <c r="C260" s="1" t="n">
        <v>46161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35659-2023</t>
        </is>
      </c>
      <c r="B261" s="1" t="n">
        <v>45147</v>
      </c>
      <c r="C261" s="1" t="n">
        <v>46161</v>
      </c>
      <c r="D261" t="inlineStr">
        <is>
          <t>ÖREBRO LÄN</t>
        </is>
      </c>
      <c r="E261" t="inlineStr">
        <is>
          <t>NORA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19501-2026</t>
        </is>
      </c>
      <c r="B262" s="1" t="n">
        <v>46134.33060185185</v>
      </c>
      <c r="C262" s="1" t="n">
        <v>46161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19510-2026</t>
        </is>
      </c>
      <c r="B263" s="1" t="n">
        <v>46134.33972222222</v>
      </c>
      <c r="C263" s="1" t="n">
        <v>46161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17140-2022</t>
        </is>
      </c>
      <c r="B264" s="1" t="n">
        <v>44677.53418981482</v>
      </c>
      <c r="C264" s="1" t="n">
        <v>46161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35330-2021</t>
        </is>
      </c>
      <c r="B265" s="1" t="n">
        <v>44384.81996527778</v>
      </c>
      <c r="C265" s="1" t="n">
        <v>46161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40126-2021</t>
        </is>
      </c>
      <c r="B266" s="1" t="n">
        <v>44418</v>
      </c>
      <c r="C266" s="1" t="n">
        <v>46161</v>
      </c>
      <c r="D266" t="inlineStr">
        <is>
          <t>ÖREBRO LÄN</t>
        </is>
      </c>
      <c r="E266" t="inlineStr">
        <is>
          <t>NORA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34026-2022</t>
        </is>
      </c>
      <c r="B267" s="1" t="n">
        <v>44791.32811342592</v>
      </c>
      <c r="C267" s="1" t="n">
        <v>46161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24828-2024</t>
        </is>
      </c>
      <c r="B268" s="1" t="n">
        <v>45461.3750462963</v>
      </c>
      <c r="C268" s="1" t="n">
        <v>46161</v>
      </c>
      <c r="D268" t="inlineStr">
        <is>
          <t>ÖREBRO LÄN</t>
        </is>
      </c>
      <c r="E268" t="inlineStr">
        <is>
          <t>NORA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52505-2023</t>
        </is>
      </c>
      <c r="B269" s="1" t="n">
        <v>45225</v>
      </c>
      <c r="C269" s="1" t="n">
        <v>46161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29018-2023</t>
        </is>
      </c>
      <c r="B270" s="1" t="n">
        <v>45104</v>
      </c>
      <c r="C270" s="1" t="n">
        <v>46161</v>
      </c>
      <c r="D270" t="inlineStr">
        <is>
          <t>ÖREBRO LÄN</t>
        </is>
      </c>
      <c r="E270" t="inlineStr">
        <is>
          <t>NORA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14242-2026</t>
        </is>
      </c>
      <c r="B271" s="1" t="n">
        <v>46099.60429398148</v>
      </c>
      <c r="C271" s="1" t="n">
        <v>46161</v>
      </c>
      <c r="D271" t="inlineStr">
        <is>
          <t>ÖREBRO LÄN</t>
        </is>
      </c>
      <c r="E271" t="inlineStr">
        <is>
          <t>NORA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14253-2026</t>
        </is>
      </c>
      <c r="B272" s="1" t="n">
        <v>46099.61896990741</v>
      </c>
      <c r="C272" s="1" t="n">
        <v>46161</v>
      </c>
      <c r="D272" t="inlineStr">
        <is>
          <t>ÖREBRO LÄN</t>
        </is>
      </c>
      <c r="E272" t="inlineStr">
        <is>
          <t>NORA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62217-2023</t>
        </is>
      </c>
      <c r="B273" s="1" t="n">
        <v>45267.51355324074</v>
      </c>
      <c r="C273" s="1" t="n">
        <v>46161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21256-2026</t>
        </is>
      </c>
      <c r="B274" s="1" t="n">
        <v>46147.39226851852</v>
      </c>
      <c r="C274" s="1" t="n">
        <v>46161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21270-2026</t>
        </is>
      </c>
      <c r="B275" s="1" t="n">
        <v>46147.43085648148</v>
      </c>
      <c r="C275" s="1" t="n">
        <v>46161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21271-2026</t>
        </is>
      </c>
      <c r="B276" s="1" t="n">
        <v>46147.43164351852</v>
      </c>
      <c r="C276" s="1" t="n">
        <v>46161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34755-2024</t>
        </is>
      </c>
      <c r="B277" s="1" t="n">
        <v>45526</v>
      </c>
      <c r="C277" s="1" t="n">
        <v>46161</v>
      </c>
      <c r="D277" t="inlineStr">
        <is>
          <t>ÖREBRO LÄN</t>
        </is>
      </c>
      <c r="E277" t="inlineStr">
        <is>
          <t>NORA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59637-2021</t>
        </is>
      </c>
      <c r="B278" s="1" t="n">
        <v>44493</v>
      </c>
      <c r="C278" s="1" t="n">
        <v>46161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21276-2026</t>
        </is>
      </c>
      <c r="B279" s="1" t="n">
        <v>46147.44309027777</v>
      </c>
      <c r="C279" s="1" t="n">
        <v>46161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21262-2026</t>
        </is>
      </c>
      <c r="B280" s="1" t="n">
        <v>46147.40321759259</v>
      </c>
      <c r="C280" s="1" t="n">
        <v>46161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10882-2024</t>
        </is>
      </c>
      <c r="B281" s="1" t="n">
        <v>45370</v>
      </c>
      <c r="C281" s="1" t="n">
        <v>46161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8295-2024</t>
        </is>
      </c>
      <c r="B282" s="1" t="n">
        <v>45352.43674768518</v>
      </c>
      <c r="C282" s="1" t="n">
        <v>46161</v>
      </c>
      <c r="D282" t="inlineStr">
        <is>
          <t>ÖREBRO LÄN</t>
        </is>
      </c>
      <c r="E282" t="inlineStr">
        <is>
          <t>NORA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15712-2026</t>
        </is>
      </c>
      <c r="B283" s="1" t="n">
        <v>46107.35884259259</v>
      </c>
      <c r="C283" s="1" t="n">
        <v>46161</v>
      </c>
      <c r="D283" t="inlineStr">
        <is>
          <t>ÖREBRO LÄN</t>
        </is>
      </c>
      <c r="E283" t="inlineStr">
        <is>
          <t>NORA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24832-2024</t>
        </is>
      </c>
      <c r="B284" s="1" t="n">
        <v>45461.38202546296</v>
      </c>
      <c r="C284" s="1" t="n">
        <v>46161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15692-2026</t>
        </is>
      </c>
      <c r="B285" s="1" t="n">
        <v>46107.34225694444</v>
      </c>
      <c r="C285" s="1" t="n">
        <v>46161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15702-2026</t>
        </is>
      </c>
      <c r="B286" s="1" t="n">
        <v>46107.34780092593</v>
      </c>
      <c r="C286" s="1" t="n">
        <v>46161</v>
      </c>
      <c r="D286" t="inlineStr">
        <is>
          <t>ÖREBRO LÄN</t>
        </is>
      </c>
      <c r="E286" t="inlineStr">
        <is>
          <t>NORA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70200-2021</t>
        </is>
      </c>
      <c r="B287" s="1" t="n">
        <v>44534.82171296296</v>
      </c>
      <c r="C287" s="1" t="n">
        <v>46161</v>
      </c>
      <c r="D287" t="inlineStr">
        <is>
          <t>ÖREBRO LÄN</t>
        </is>
      </c>
      <c r="E287" t="inlineStr">
        <is>
          <t>NORA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22389-2023</t>
        </is>
      </c>
      <c r="B288" s="1" t="n">
        <v>45070</v>
      </c>
      <c r="C288" s="1" t="n">
        <v>46161</v>
      </c>
      <c r="D288" t="inlineStr">
        <is>
          <t>ÖREBRO LÄN</t>
        </is>
      </c>
      <c r="E288" t="inlineStr">
        <is>
          <t>NORA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22266-2026</t>
        </is>
      </c>
      <c r="B289" s="1" t="n">
        <v>46154.38645833333</v>
      </c>
      <c r="C289" s="1" t="n">
        <v>46161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35656-2024</t>
        </is>
      </c>
      <c r="B290" s="1" t="n">
        <v>45532</v>
      </c>
      <c r="C290" s="1" t="n">
        <v>46161</v>
      </c>
      <c r="D290" t="inlineStr">
        <is>
          <t>ÖREBRO LÄN</t>
        </is>
      </c>
      <c r="E290" t="inlineStr">
        <is>
          <t>NORA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16813-2026</t>
        </is>
      </c>
      <c r="B291" s="1" t="n">
        <v>46113.49621527778</v>
      </c>
      <c r="C291" s="1" t="n">
        <v>46161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16815-2026</t>
        </is>
      </c>
      <c r="B292" s="1" t="n">
        <v>46113.49802083334</v>
      </c>
      <c r="C292" s="1" t="n">
        <v>46161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16816-2026</t>
        </is>
      </c>
      <c r="B293" s="1" t="n">
        <v>46113.49991898148</v>
      </c>
      <c r="C293" s="1" t="n">
        <v>46161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22474-2026</t>
        </is>
      </c>
      <c r="B294" s="1" t="n">
        <v>46155.39695601852</v>
      </c>
      <c r="C294" s="1" t="n">
        <v>46161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22478-2026</t>
        </is>
      </c>
      <c r="B295" s="1" t="n">
        <v>46155.401875</v>
      </c>
      <c r="C295" s="1" t="n">
        <v>46161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22480-2026</t>
        </is>
      </c>
      <c r="B296" s="1" t="n">
        <v>46155.40488425926</v>
      </c>
      <c r="C296" s="1" t="n">
        <v>46161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22485-2026</t>
        </is>
      </c>
      <c r="B297" s="1" t="n">
        <v>46155.40791666666</v>
      </c>
      <c r="C297" s="1" t="n">
        <v>46161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16810-2026</t>
        </is>
      </c>
      <c r="B298" s="1" t="n">
        <v>46113.49311342592</v>
      </c>
      <c r="C298" s="1" t="n">
        <v>46161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22476-2026</t>
        </is>
      </c>
      <c r="B299" s="1" t="n">
        <v>46155.39934027778</v>
      </c>
      <c r="C299" s="1" t="n">
        <v>46161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11631-2022</t>
        </is>
      </c>
      <c r="B300" s="1" t="n">
        <v>44631</v>
      </c>
      <c r="C300" s="1" t="n">
        <v>46161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22481-2026</t>
        </is>
      </c>
      <c r="B301" s="1" t="n">
        <v>46155.40670138889</v>
      </c>
      <c r="C301" s="1" t="n">
        <v>46161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16808-2026</t>
        </is>
      </c>
      <c r="B302" s="1" t="n">
        <v>46113.49188657408</v>
      </c>
      <c r="C302" s="1" t="n">
        <v>46161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16814-2026</t>
        </is>
      </c>
      <c r="B303" s="1" t="n">
        <v>46113.49700231481</v>
      </c>
      <c r="C303" s="1" t="n">
        <v>46161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16811-2026</t>
        </is>
      </c>
      <c r="B304" s="1" t="n">
        <v>46113.49465277778</v>
      </c>
      <c r="C304" s="1" t="n">
        <v>46161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5217-2022</t>
        </is>
      </c>
      <c r="B305" s="1" t="n">
        <v>44593</v>
      </c>
      <c r="C305" s="1" t="n">
        <v>46161</v>
      </c>
      <c r="D305" t="inlineStr">
        <is>
          <t>ÖREBRO LÄN</t>
        </is>
      </c>
      <c r="E305" t="inlineStr">
        <is>
          <t>NORA</t>
        </is>
      </c>
      <c r="F305" t="inlineStr">
        <is>
          <t>Övriga Aktiebolag</t>
        </is>
      </c>
      <c r="G305" t="n">
        <v>38.4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37849-2023</t>
        </is>
      </c>
      <c r="B306" s="1" t="n">
        <v>45158</v>
      </c>
      <c r="C306" s="1" t="n">
        <v>46161</v>
      </c>
      <c r="D306" t="inlineStr">
        <is>
          <t>ÖREBRO LÄN</t>
        </is>
      </c>
      <c r="E306" t="inlineStr">
        <is>
          <t>NORA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24391-2024</t>
        </is>
      </c>
      <c r="B307" s="1" t="n">
        <v>45457.63850694444</v>
      </c>
      <c r="C307" s="1" t="n">
        <v>46161</v>
      </c>
      <c r="D307" t="inlineStr">
        <is>
          <t>ÖREBRO LÄN</t>
        </is>
      </c>
      <c r="E307" t="inlineStr">
        <is>
          <t>NORA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24392-2024</t>
        </is>
      </c>
      <c r="B308" s="1" t="n">
        <v>45457.64085648148</v>
      </c>
      <c r="C308" s="1" t="n">
        <v>46161</v>
      </c>
      <c r="D308" t="inlineStr">
        <is>
          <t>ÖREBRO LÄN</t>
        </is>
      </c>
      <c r="E308" t="inlineStr">
        <is>
          <t>NORA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41676-2021</t>
        </is>
      </c>
      <c r="B309" s="1" t="n">
        <v>44425.50175925926</v>
      </c>
      <c r="C309" s="1" t="n">
        <v>46161</v>
      </c>
      <c r="D309" t="inlineStr">
        <is>
          <t>ÖREBRO LÄN</t>
        </is>
      </c>
      <c r="E309" t="inlineStr">
        <is>
          <t>NORA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35144-2023</t>
        </is>
      </c>
      <c r="B310" s="1" t="n">
        <v>45145</v>
      </c>
      <c r="C310" s="1" t="n">
        <v>46161</v>
      </c>
      <c r="D310" t="inlineStr">
        <is>
          <t>ÖREBRO LÄN</t>
        </is>
      </c>
      <c r="E310" t="inlineStr">
        <is>
          <t>NORA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348-2025</t>
        </is>
      </c>
      <c r="B311" s="1" t="n">
        <v>45660</v>
      </c>
      <c r="C311" s="1" t="n">
        <v>46161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73009-2021</t>
        </is>
      </c>
      <c r="B312" s="1" t="n">
        <v>44550.33282407407</v>
      </c>
      <c r="C312" s="1" t="n">
        <v>46161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38798-2021</t>
        </is>
      </c>
      <c r="B313" s="1" t="n">
        <v>44410</v>
      </c>
      <c r="C313" s="1" t="n">
        <v>46161</v>
      </c>
      <c r="D313" t="inlineStr">
        <is>
          <t>ÖREBRO LÄN</t>
        </is>
      </c>
      <c r="E313" t="inlineStr">
        <is>
          <t>NORA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8936-2025</t>
        </is>
      </c>
      <c r="B314" s="1" t="n">
        <v>45714</v>
      </c>
      <c r="C314" s="1" t="n">
        <v>46161</v>
      </c>
      <c r="D314" t="inlineStr">
        <is>
          <t>ÖREBRO LÄN</t>
        </is>
      </c>
      <c r="E314" t="inlineStr">
        <is>
          <t>NORA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53365-2023</t>
        </is>
      </c>
      <c r="B315" s="1" t="n">
        <v>45229.66844907407</v>
      </c>
      <c r="C315" s="1" t="n">
        <v>46161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2026-05-19T10:59:14Z</dcterms:created>
  <dcterms:modified xmlns:dcterms="http://purl.org/dc/terms/" xmlns:xsi="http://www.w3.org/2001/XMLSchema-instance" xsi:type="dcterms:W3CDTF">2026-05-19T10:59:14Z</dcterms:modified>
</cp:coreProperties>
</file>