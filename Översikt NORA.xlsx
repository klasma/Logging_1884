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45471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45471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22931-2019</t>
        </is>
      </c>
      <c r="B4" s="1" t="n">
        <v>43591</v>
      </c>
      <c r="C4" s="1" t="n">
        <v>45471</v>
      </c>
      <c r="D4" t="inlineStr">
        <is>
          <t>ÖREBRO LÄN</t>
        </is>
      </c>
      <c r="E4" t="inlineStr">
        <is>
          <t>NORA</t>
        </is>
      </c>
      <c r="G4" t="n">
        <v>0.9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Rödvingetrast
Skogsklocka
Spillkråka
Gröngöling</t>
        </is>
      </c>
      <c r="S4">
        <f>HYPERLINK("https://klasma.github.io/Logging_1884/artfynd/A 22931-2019 artfynd.xlsx", "A 22931-2019")</f>
        <v/>
      </c>
      <c r="T4">
        <f>HYPERLINK("https://klasma.github.io/Logging_1884/kartor/A 22931-2019 karta.png", "A 22931-2019")</f>
        <v/>
      </c>
      <c r="V4">
        <f>HYPERLINK("https://klasma.github.io/Logging_1884/klagomål/A 22931-2019 FSC-klagomål.docx", "A 22931-2019")</f>
        <v/>
      </c>
      <c r="W4">
        <f>HYPERLINK("https://klasma.github.io/Logging_1884/klagomålsmail/A 22931-2019 FSC-klagomål mail.docx", "A 22931-2019")</f>
        <v/>
      </c>
      <c r="X4">
        <f>HYPERLINK("https://klasma.github.io/Logging_1884/tillsyn/A 22931-2019 tillsynsbegäran.docx", "A 22931-2019")</f>
        <v/>
      </c>
      <c r="Y4">
        <f>HYPERLINK("https://klasma.github.io/Logging_1884/tillsynsmail/A 22931-2019 tillsynsbegäran mail.docx", "A 22931-2019")</f>
        <v/>
      </c>
      <c r="Z4">
        <f>HYPERLINK("https://klasma.github.io/Logging_1884/fåglar/A 22931-2019 prioriterade fågelarter.docx", "A 22931-2019")</f>
        <v/>
      </c>
    </row>
    <row r="5" ht="15" customHeight="1">
      <c r="A5" t="inlineStr">
        <is>
          <t>A 31180-2020</t>
        </is>
      </c>
      <c r="B5" s="1" t="n">
        <v>44012</v>
      </c>
      <c r="C5" s="1" t="n">
        <v>45471</v>
      </c>
      <c r="D5" t="inlineStr">
        <is>
          <t>ÖREBRO LÄN</t>
        </is>
      </c>
      <c r="E5" t="inlineStr">
        <is>
          <t>NORA</t>
        </is>
      </c>
      <c r="F5" t="inlineStr">
        <is>
          <t>Sveaskog</t>
        </is>
      </c>
      <c r="G5" t="n">
        <v>3.8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Entita
Fjällvråk
Stenfalk
Talltita</t>
        </is>
      </c>
      <c r="S5">
        <f>HYPERLINK("https://klasma.github.io/Logging_1884/artfynd/A 31180-2020 artfynd.xlsx", "A 31180-2020")</f>
        <v/>
      </c>
      <c r="T5">
        <f>HYPERLINK("https://klasma.github.io/Logging_1884/kartor/A 31180-2020 karta.png", "A 31180-2020")</f>
        <v/>
      </c>
      <c r="V5">
        <f>HYPERLINK("https://klasma.github.io/Logging_1884/klagomål/A 31180-2020 FSC-klagomål.docx", "A 31180-2020")</f>
        <v/>
      </c>
      <c r="W5">
        <f>HYPERLINK("https://klasma.github.io/Logging_1884/klagomålsmail/A 31180-2020 FSC-klagomål mail.docx", "A 31180-2020")</f>
        <v/>
      </c>
      <c r="X5">
        <f>HYPERLINK("https://klasma.github.io/Logging_1884/tillsyn/A 31180-2020 tillsynsbegäran.docx", "A 31180-2020")</f>
        <v/>
      </c>
      <c r="Y5">
        <f>HYPERLINK("https://klasma.github.io/Logging_1884/tillsynsmail/A 31180-2020 tillsynsbegäran mail.docx", "A 31180-2020")</f>
        <v/>
      </c>
      <c r="Z5">
        <f>HYPERLINK("https://klasma.github.io/Logging_1884/fåglar/A 31180-2020 prioriterade fågelarter.docx", "A 31180-2020")</f>
        <v/>
      </c>
    </row>
    <row r="6" ht="15" customHeight="1">
      <c r="A6" t="inlineStr">
        <is>
          <t>A 42807-2022</t>
        </is>
      </c>
      <c r="B6" s="1" t="n">
        <v>44832</v>
      </c>
      <c r="C6" s="1" t="n">
        <v>45471</v>
      </c>
      <c r="D6" t="inlineStr">
        <is>
          <t>ÖREBRO LÄN</t>
        </is>
      </c>
      <c r="E6" t="inlineStr">
        <is>
          <t>NORA</t>
        </is>
      </c>
      <c r="G6" t="n">
        <v>14.7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Ullticka
Bårdlav
Lopplummer</t>
        </is>
      </c>
      <c r="S6">
        <f>HYPERLINK("https://klasma.github.io/Logging_1884/artfynd/A 42807-2022 artfynd.xlsx", "A 42807-2022")</f>
        <v/>
      </c>
      <c r="T6">
        <f>HYPERLINK("https://klasma.github.io/Logging_1884/kartor/A 42807-2022 karta.png", "A 42807-2022")</f>
        <v/>
      </c>
      <c r="U6">
        <f>HYPERLINK("https://klasma.github.io/Logging_1884/knärot/A 42807-2022 karta knärot.png", "A 42807-2022")</f>
        <v/>
      </c>
      <c r="V6">
        <f>HYPERLINK("https://klasma.github.io/Logging_1884/klagomål/A 42807-2022 FSC-klagomål.docx", "A 42807-2022")</f>
        <v/>
      </c>
      <c r="W6">
        <f>HYPERLINK("https://klasma.github.io/Logging_1884/klagomålsmail/A 42807-2022 FSC-klagomål mail.docx", "A 42807-2022")</f>
        <v/>
      </c>
      <c r="X6">
        <f>HYPERLINK("https://klasma.github.io/Logging_1884/tillsyn/A 42807-2022 tillsynsbegäran.docx", "A 42807-2022")</f>
        <v/>
      </c>
      <c r="Y6">
        <f>HYPERLINK("https://klasma.github.io/Logging_1884/tillsynsmail/A 42807-2022 tillsynsbegäran mail.docx", "A 42807-2022")</f>
        <v/>
      </c>
    </row>
    <row r="7" ht="15" customHeight="1">
      <c r="A7" t="inlineStr">
        <is>
          <t>A 19071-2023</t>
        </is>
      </c>
      <c r="B7" s="1" t="n">
        <v>45048</v>
      </c>
      <c r="C7" s="1" t="n">
        <v>45471</v>
      </c>
      <c r="D7" t="inlineStr">
        <is>
          <t>ÖREBRO LÄN</t>
        </is>
      </c>
      <c r="E7" t="inlineStr">
        <is>
          <t>NORA</t>
        </is>
      </c>
      <c r="G7" t="n">
        <v>4.2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Mörk husmossa
Svavelriska
Västlig hakmossa</t>
        </is>
      </c>
      <c r="S7">
        <f>HYPERLINK("https://klasma.github.io/Logging_1884/artfynd/A 19071-2023 artfynd.xlsx", "A 19071-2023")</f>
        <v/>
      </c>
      <c r="T7">
        <f>HYPERLINK("https://klasma.github.io/Logging_1884/kartor/A 19071-2023 karta.png", "A 19071-2023")</f>
        <v/>
      </c>
      <c r="V7">
        <f>HYPERLINK("https://klasma.github.io/Logging_1884/klagomål/A 19071-2023 FSC-klagomål.docx", "A 19071-2023")</f>
        <v/>
      </c>
      <c r="W7">
        <f>HYPERLINK("https://klasma.github.io/Logging_1884/klagomålsmail/A 19071-2023 FSC-klagomål mail.docx", "A 19071-2023")</f>
        <v/>
      </c>
      <c r="X7">
        <f>HYPERLINK("https://klasma.github.io/Logging_1884/tillsyn/A 19071-2023 tillsynsbegäran.docx", "A 19071-2023")</f>
        <v/>
      </c>
      <c r="Y7">
        <f>HYPERLINK("https://klasma.github.io/Logging_1884/tillsynsmail/A 19071-2023 tillsynsbegäran mail.docx", "A 19071-2023")</f>
        <v/>
      </c>
    </row>
    <row r="8" ht="15" customHeight="1">
      <c r="A8" t="inlineStr">
        <is>
          <t>A 22408-2023</t>
        </is>
      </c>
      <c r="B8" s="1" t="n">
        <v>45070</v>
      </c>
      <c r="C8" s="1" t="n">
        <v>45471</v>
      </c>
      <c r="D8" t="inlineStr">
        <is>
          <t>ÖREBRO LÄN</t>
        </is>
      </c>
      <c r="E8" t="inlineStr">
        <is>
          <t>NORA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Gul taggsvamp
Fjällig taggsvamp s.str.
Tibast</t>
        </is>
      </c>
      <c r="S8">
        <f>HYPERLINK("https://klasma.github.io/Logging_1884/artfynd/A 22408-2023 artfynd.xlsx", "A 22408-2023")</f>
        <v/>
      </c>
      <c r="T8">
        <f>HYPERLINK("https://klasma.github.io/Logging_1884/kartor/A 22408-2023 karta.png", "A 22408-2023")</f>
        <v/>
      </c>
      <c r="V8">
        <f>HYPERLINK("https://klasma.github.io/Logging_1884/klagomål/A 22408-2023 FSC-klagomål.docx", "A 22408-2023")</f>
        <v/>
      </c>
      <c r="W8">
        <f>HYPERLINK("https://klasma.github.io/Logging_1884/klagomålsmail/A 22408-2023 FSC-klagomål mail.docx", "A 22408-2023")</f>
        <v/>
      </c>
      <c r="X8">
        <f>HYPERLINK("https://klasma.github.io/Logging_1884/tillsyn/A 22408-2023 tillsynsbegäran.docx", "A 22408-2023")</f>
        <v/>
      </c>
      <c r="Y8">
        <f>HYPERLINK("https://klasma.github.io/Logging_1884/tillsynsmail/A 22408-2023 tillsynsbegäran mail.docx", "A 22408-2023")</f>
        <v/>
      </c>
    </row>
    <row r="9" ht="15" customHeight="1">
      <c r="A9" t="inlineStr">
        <is>
          <t>A 8349-2024</t>
        </is>
      </c>
      <c r="B9" s="1" t="n">
        <v>45352</v>
      </c>
      <c r="C9" s="1" t="n">
        <v>45471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Cinnoberspindling
Spillkråka
Vedticka
Ögonpyrola</t>
        </is>
      </c>
      <c r="S9">
        <f>HYPERLINK("https://klasma.github.io/Logging_1884/artfynd/A 8349-2024 artfynd.xlsx", "A 8349-2024")</f>
        <v/>
      </c>
      <c r="T9">
        <f>HYPERLINK("https://klasma.github.io/Logging_1884/kartor/A 8349-2024 karta.png", "A 8349-2024")</f>
        <v/>
      </c>
      <c r="V9">
        <f>HYPERLINK("https://klasma.github.io/Logging_1884/klagomål/A 8349-2024 FSC-klagomål.docx", "A 8349-2024")</f>
        <v/>
      </c>
      <c r="W9">
        <f>HYPERLINK("https://klasma.github.io/Logging_1884/klagomålsmail/A 8349-2024 FSC-klagomål mail.docx", "A 8349-2024")</f>
        <v/>
      </c>
      <c r="X9">
        <f>HYPERLINK("https://klasma.github.io/Logging_1884/tillsyn/A 8349-2024 tillsynsbegäran.docx", "A 8349-2024")</f>
        <v/>
      </c>
      <c r="Y9">
        <f>HYPERLINK("https://klasma.github.io/Logging_1884/tillsynsmail/A 8349-2024 tillsynsbegäran mail.docx", "A 8349-2024")</f>
        <v/>
      </c>
      <c r="Z9">
        <f>HYPERLINK("https://klasma.github.io/Logging_1884/fåglar/A 8349-2024 prioriterade fågelarter.docx", "A 8349-2024")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45471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45471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Brunklöver
Drillsnäppa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45471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1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Asknätfjäril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20642-2024</t>
        </is>
      </c>
      <c r="B13" s="1" t="n">
        <v>45436</v>
      </c>
      <c r="C13" s="1" t="n">
        <v>45471</v>
      </c>
      <c r="D13" t="inlineStr">
        <is>
          <t>ÖREBRO LÄN</t>
        </is>
      </c>
      <c r="E13" t="inlineStr">
        <is>
          <t>NORA</t>
        </is>
      </c>
      <c r="G13" t="n">
        <v>1.9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Brunpudrad nållav
Dropptaggsvamp
Flagellkvastmossa</t>
        </is>
      </c>
      <c r="S13">
        <f>HYPERLINK("https://klasma.github.io/Logging_1884/artfynd/A 20642-2024 artfynd.xlsx", "A 20642-2024")</f>
        <v/>
      </c>
      <c r="T13">
        <f>HYPERLINK("https://klasma.github.io/Logging_1884/kartor/A 20642-2024 karta.png", "A 20642-2024")</f>
        <v/>
      </c>
      <c r="V13">
        <f>HYPERLINK("https://klasma.github.io/Logging_1884/klagomål/A 20642-2024 FSC-klagomål.docx", "A 20642-2024")</f>
        <v/>
      </c>
      <c r="W13">
        <f>HYPERLINK("https://klasma.github.io/Logging_1884/klagomålsmail/A 20642-2024 FSC-klagomål mail.docx", "A 20642-2024")</f>
        <v/>
      </c>
      <c r="X13">
        <f>HYPERLINK("https://klasma.github.io/Logging_1884/tillsyn/A 20642-2024 tillsynsbegäran.docx", "A 20642-2024")</f>
        <v/>
      </c>
      <c r="Y13">
        <f>HYPERLINK("https://klasma.github.io/Logging_1884/tillsynsmail/A 20642-2024 tillsynsbegäran mail.docx", "A 20642-2024")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45471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45471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24567-2021</t>
        </is>
      </c>
      <c r="B16" s="1" t="n">
        <v>44339</v>
      </c>
      <c r="C16" s="1" t="n">
        <v>45471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26328-2021</t>
        </is>
      </c>
      <c r="B17" s="1" t="n">
        <v>44347</v>
      </c>
      <c r="C17" s="1" t="n">
        <v>45471</v>
      </c>
      <c r="D17" t="inlineStr">
        <is>
          <t>ÖREBRO LÄN</t>
        </is>
      </c>
      <c r="E17" t="inlineStr">
        <is>
          <t>NORA</t>
        </is>
      </c>
      <c r="G17" t="n">
        <v>5.7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26328-2021 artfynd.xlsx", "A 26328-2021")</f>
        <v/>
      </c>
      <c r="T17">
        <f>HYPERLINK("https://klasma.github.io/Logging_1884/kartor/A 26328-2021 karta.png", "A 26328-2021")</f>
        <v/>
      </c>
      <c r="V17">
        <f>HYPERLINK("https://klasma.github.io/Logging_1884/klagomål/A 26328-2021 FSC-klagomål.docx", "A 26328-2021")</f>
        <v/>
      </c>
      <c r="W17">
        <f>HYPERLINK("https://klasma.github.io/Logging_1884/klagomålsmail/A 26328-2021 FSC-klagomål mail.docx", "A 26328-2021")</f>
        <v/>
      </c>
      <c r="X17">
        <f>HYPERLINK("https://klasma.github.io/Logging_1884/tillsyn/A 26328-2021 tillsynsbegäran.docx", "A 26328-2021")</f>
        <v/>
      </c>
      <c r="Y17">
        <f>HYPERLINK("https://klasma.github.io/Logging_1884/tillsynsmail/A 26328-2021 tillsynsbegäran mail.docx", "A 26328-2021")</f>
        <v/>
      </c>
    </row>
    <row r="18" ht="15" customHeight="1">
      <c r="A18" t="inlineStr">
        <is>
          <t>A 44844-2022</t>
        </is>
      </c>
      <c r="B18" s="1" t="n">
        <v>44841</v>
      </c>
      <c r="C18" s="1" t="n">
        <v>45471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HYPERLINK("https://klasma.github.io/Logging_1884/artfynd/A 44844-2022 artfynd.xlsx", "A 44844-2022")</f>
        <v/>
      </c>
      <c r="T18">
        <f>HYPERLINK("https://klasma.github.io/Logging_1884/kartor/A 44844-2022 karta.png", "A 44844-2022")</f>
        <v/>
      </c>
      <c r="V18">
        <f>HYPERLINK("https://klasma.github.io/Logging_1884/klagomål/A 44844-2022 FSC-klagomål.docx", "A 44844-2022")</f>
        <v/>
      </c>
      <c r="W18">
        <f>HYPERLINK("https://klasma.github.io/Logging_1884/klagomålsmail/A 44844-2022 FSC-klagomål mail.docx", "A 44844-2022")</f>
        <v/>
      </c>
      <c r="X18">
        <f>HYPERLINK("https://klasma.github.io/Logging_1884/tillsyn/A 44844-2022 tillsynsbegäran.docx", "A 44844-2022")</f>
        <v/>
      </c>
      <c r="Y18">
        <f>HYPERLINK("https://klasma.github.io/Logging_1884/tillsynsmail/A 44844-2022 tillsynsbegäran mail.docx", "A 44844-2022")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45471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45471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45471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45471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45471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45471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45471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15327-2024</t>
        </is>
      </c>
      <c r="B26" s="1" t="n">
        <v>45400</v>
      </c>
      <c r="C26" s="1" t="n">
        <v>45471</v>
      </c>
      <c r="D26" t="inlineStr">
        <is>
          <t>ÖREBRO LÄN</t>
        </is>
      </c>
      <c r="E26" t="inlineStr">
        <is>
          <t>NORA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Violettgrå tagellav</t>
        </is>
      </c>
      <c r="S26">
        <f>HYPERLINK("https://klasma.github.io/Logging_1884/artfynd/A 15327-2024 artfynd.xlsx", "A 15327-2024")</f>
        <v/>
      </c>
      <c r="T26">
        <f>HYPERLINK("https://klasma.github.io/Logging_1884/kartor/A 15327-2024 karta.png", "A 15327-2024")</f>
        <v/>
      </c>
      <c r="V26">
        <f>HYPERLINK("https://klasma.github.io/Logging_1884/klagomål/A 15327-2024 FSC-klagomål.docx", "A 15327-2024")</f>
        <v/>
      </c>
      <c r="W26">
        <f>HYPERLINK("https://klasma.github.io/Logging_1884/klagomålsmail/A 15327-2024 FSC-klagomål mail.docx", "A 15327-2024")</f>
        <v/>
      </c>
      <c r="X26">
        <f>HYPERLINK("https://klasma.github.io/Logging_1884/tillsyn/A 15327-2024 tillsynsbegäran.docx", "A 15327-2024")</f>
        <v/>
      </c>
      <c r="Y26">
        <f>HYPERLINK("https://klasma.github.io/Logging_1884/tillsynsmail/A 15327-2024 tillsynsbegäran mail.docx", "A 15327-2024")</f>
        <v/>
      </c>
    </row>
    <row r="27" ht="15" customHeight="1">
      <c r="A27" t="inlineStr">
        <is>
          <t>A 16554-2024</t>
        </is>
      </c>
      <c r="B27" s="1" t="n">
        <v>45408</v>
      </c>
      <c r="C27" s="1" t="n">
        <v>45471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HYPERLINK("https://klasma.github.io/Logging_1884/artfynd/A 16554-2024 artfynd.xlsx", "A 16554-2024")</f>
        <v/>
      </c>
      <c r="T27">
        <f>HYPERLINK("https://klasma.github.io/Logging_1884/kartor/A 16554-2024 karta.png", "A 16554-2024")</f>
        <v/>
      </c>
      <c r="V27">
        <f>HYPERLINK("https://klasma.github.io/Logging_1884/klagomål/A 16554-2024 FSC-klagomål.docx", "A 16554-2024")</f>
        <v/>
      </c>
      <c r="W27">
        <f>HYPERLINK("https://klasma.github.io/Logging_1884/klagomålsmail/A 16554-2024 FSC-klagomål mail.docx", "A 16554-2024")</f>
        <v/>
      </c>
      <c r="X27">
        <f>HYPERLINK("https://klasma.github.io/Logging_1884/tillsyn/A 16554-2024 tillsynsbegäran.docx", "A 16554-2024")</f>
        <v/>
      </c>
      <c r="Y27">
        <f>HYPERLINK("https://klasma.github.io/Logging_1884/tillsynsmail/A 16554-2024 tillsynsbegäran mail.docx", "A 16554-2024")</f>
        <v/>
      </c>
    </row>
    <row r="28" ht="15" customHeight="1">
      <c r="A28" t="inlineStr">
        <is>
          <t>A 16642-2024</t>
        </is>
      </c>
      <c r="B28" s="1" t="n">
        <v>45408</v>
      </c>
      <c r="C28" s="1" t="n">
        <v>45471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20654-2024</t>
        </is>
      </c>
      <c r="B29" s="1" t="n">
        <v>45436</v>
      </c>
      <c r="C29" s="1" t="n">
        <v>45471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HYPERLINK("https://klasma.github.io/Logging_1884/artfynd/A 20654-2024 artfynd.xlsx", "A 20654-2024")</f>
        <v/>
      </c>
      <c r="T29">
        <f>HYPERLINK("https://klasma.github.io/Logging_1884/kartor/A 20654-2024 karta.png", "A 20654-2024")</f>
        <v/>
      </c>
      <c r="V29">
        <f>HYPERLINK("https://klasma.github.io/Logging_1884/klagomål/A 20654-2024 FSC-klagomål.docx", "A 20654-2024")</f>
        <v/>
      </c>
      <c r="W29">
        <f>HYPERLINK("https://klasma.github.io/Logging_1884/klagomålsmail/A 20654-2024 FSC-klagomål mail.docx", "A 20654-2024")</f>
        <v/>
      </c>
      <c r="X29">
        <f>HYPERLINK("https://klasma.github.io/Logging_1884/tillsyn/A 20654-2024 tillsynsbegäran.docx", "A 20654-2024")</f>
        <v/>
      </c>
      <c r="Y29">
        <f>HYPERLINK("https://klasma.github.io/Logging_1884/tillsynsmail/A 20654-2024 tillsynsbegäran mail.docx", "A 20654-2024")</f>
        <v/>
      </c>
    </row>
    <row r="30" ht="15" customHeight="1">
      <c r="A30" t="inlineStr">
        <is>
          <t>A 18891-2019</t>
        </is>
      </c>
      <c r="B30" s="1" t="n">
        <v>43563</v>
      </c>
      <c r="C30" s="1" t="n">
        <v>45471</v>
      </c>
      <c r="D30" t="inlineStr">
        <is>
          <t>ÖREBRO LÄN</t>
        </is>
      </c>
      <c r="E30" t="inlineStr">
        <is>
          <t>NORA</t>
        </is>
      </c>
      <c r="F30" t="inlineStr">
        <is>
          <t>Kommuner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19910-2019</t>
        </is>
      </c>
      <c r="B31" s="1" t="n">
        <v>43567</v>
      </c>
      <c r="C31" s="1" t="n">
        <v>45471</v>
      </c>
      <c r="D31" t="inlineStr">
        <is>
          <t>ÖREBRO LÄN</t>
        </is>
      </c>
      <c r="E31" t="inlineStr">
        <is>
          <t>NORA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22333-2019</t>
        </is>
      </c>
      <c r="B32" s="1" t="n">
        <v>43586</v>
      </c>
      <c r="C32" s="1" t="n">
        <v>45471</v>
      </c>
      <c r="D32" t="inlineStr">
        <is>
          <t>ÖREBRO LÄN</t>
        </is>
      </c>
      <c r="E32" t="inlineStr">
        <is>
          <t>NORA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22854-2019</t>
        </is>
      </c>
      <c r="B33" s="1" t="n">
        <v>43591</v>
      </c>
      <c r="C33" s="1" t="n">
        <v>45471</v>
      </c>
      <c r="D33" t="inlineStr">
        <is>
          <t>ÖREBRO LÄN</t>
        </is>
      </c>
      <c r="E33" t="inlineStr">
        <is>
          <t>NORA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26226-2019</t>
        </is>
      </c>
      <c r="B34" s="1" t="n">
        <v>43609</v>
      </c>
      <c r="C34" s="1" t="n">
        <v>45471</v>
      </c>
      <c r="D34" t="inlineStr">
        <is>
          <t>ÖREBRO LÄN</t>
        </is>
      </c>
      <c r="E34" t="inlineStr">
        <is>
          <t>NORA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30147-2019</t>
        </is>
      </c>
      <c r="B35" s="1" t="n">
        <v>43634</v>
      </c>
      <c r="C35" s="1" t="n">
        <v>45471</v>
      </c>
      <c r="D35" t="inlineStr">
        <is>
          <t>ÖREBRO LÄN</t>
        </is>
      </c>
      <c r="E35" t="inlineStr">
        <is>
          <t>NORA</t>
        </is>
      </c>
      <c r="G35" t="n">
        <v>18.5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33875-2019</t>
        </is>
      </c>
      <c r="B36" s="1" t="n">
        <v>43653</v>
      </c>
      <c r="C36" s="1" t="n">
        <v>45471</v>
      </c>
      <c r="D36" t="inlineStr">
        <is>
          <t>ÖREBRO LÄN</t>
        </is>
      </c>
      <c r="E36" t="inlineStr">
        <is>
          <t>NORA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36680-2019</t>
        </is>
      </c>
      <c r="B37" s="1" t="n">
        <v>43670</v>
      </c>
      <c r="C37" s="1" t="n">
        <v>45471</v>
      </c>
      <c r="D37" t="inlineStr">
        <is>
          <t>ÖREBRO LÄN</t>
        </is>
      </c>
      <c r="E37" t="inlineStr">
        <is>
          <t>NORA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36564-2019</t>
        </is>
      </c>
      <c r="B38" s="1" t="n">
        <v>43671</v>
      </c>
      <c r="C38" s="1" t="n">
        <v>45471</v>
      </c>
      <c r="D38" t="inlineStr">
        <is>
          <t>ÖREBRO LÄN</t>
        </is>
      </c>
      <c r="E38" t="inlineStr">
        <is>
          <t>NORA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37406-2019</t>
        </is>
      </c>
      <c r="B39" s="1" t="n">
        <v>43678</v>
      </c>
      <c r="C39" s="1" t="n">
        <v>45471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39679-2019</t>
        </is>
      </c>
      <c r="B40" s="1" t="n">
        <v>43691</v>
      </c>
      <c r="C40" s="1" t="n">
        <v>45471</v>
      </c>
      <c r="D40" t="inlineStr">
        <is>
          <t>ÖREBRO LÄN</t>
        </is>
      </c>
      <c r="E40" t="inlineStr">
        <is>
          <t>NORA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45909-2019</t>
        </is>
      </c>
      <c r="B41" s="1" t="n">
        <v>43717</v>
      </c>
      <c r="C41" s="1" t="n">
        <v>45471</v>
      </c>
      <c r="D41" t="inlineStr">
        <is>
          <t>ÖREBRO LÄN</t>
        </is>
      </c>
      <c r="E41" t="inlineStr">
        <is>
          <t>NORA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52402-2019</t>
        </is>
      </c>
      <c r="B42" s="1" t="n">
        <v>43745</v>
      </c>
      <c r="C42" s="1" t="n">
        <v>45471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53666-2019</t>
        </is>
      </c>
      <c r="B43" s="1" t="n">
        <v>43749</v>
      </c>
      <c r="C43" s="1" t="n">
        <v>45471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56061-2019</t>
        </is>
      </c>
      <c r="B44" s="1" t="n">
        <v>43759</v>
      </c>
      <c r="C44" s="1" t="n">
        <v>45471</v>
      </c>
      <c r="D44" t="inlineStr">
        <is>
          <t>ÖREBRO LÄN</t>
        </is>
      </c>
      <c r="E44" t="inlineStr">
        <is>
          <t>NORA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56463-2019</t>
        </is>
      </c>
      <c r="B45" s="1" t="n">
        <v>43762</v>
      </c>
      <c r="C45" s="1" t="n">
        <v>45471</v>
      </c>
      <c r="D45" t="inlineStr">
        <is>
          <t>ÖREBRO LÄN</t>
        </is>
      </c>
      <c r="E45" t="inlineStr">
        <is>
          <t>NORA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65138-2019</t>
        </is>
      </c>
      <c r="B46" s="1" t="n">
        <v>43802</v>
      </c>
      <c r="C46" s="1" t="n">
        <v>45471</v>
      </c>
      <c r="D46" t="inlineStr">
        <is>
          <t>ÖREBRO LÄN</t>
        </is>
      </c>
      <c r="E46" t="inlineStr">
        <is>
          <t>NORA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2137-2020</t>
        </is>
      </c>
      <c r="B47" s="1" t="n">
        <v>43839</v>
      </c>
      <c r="C47" s="1" t="n">
        <v>45471</v>
      </c>
      <c r="D47" t="inlineStr">
        <is>
          <t>ÖREBRO LÄN</t>
        </is>
      </c>
      <c r="E47" t="inlineStr">
        <is>
          <t>NORA</t>
        </is>
      </c>
      <c r="F47" t="inlineStr">
        <is>
          <t>Övriga Aktiebolag</t>
        </is>
      </c>
      <c r="G47" t="n">
        <v>10.5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3999-2020</t>
        </is>
      </c>
      <c r="B48" s="1" t="n">
        <v>43856</v>
      </c>
      <c r="C48" s="1" t="n">
        <v>45471</v>
      </c>
      <c r="D48" t="inlineStr">
        <is>
          <t>ÖREBRO LÄN</t>
        </is>
      </c>
      <c r="E48" t="inlineStr">
        <is>
          <t>NORA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7414-2020</t>
        </is>
      </c>
      <c r="B49" s="1" t="n">
        <v>43871</v>
      </c>
      <c r="C49" s="1" t="n">
        <v>45471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10544-2020</t>
        </is>
      </c>
      <c r="B50" s="1" t="n">
        <v>43887</v>
      </c>
      <c r="C50" s="1" t="n">
        <v>45471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10660-2020</t>
        </is>
      </c>
      <c r="B51" s="1" t="n">
        <v>43888</v>
      </c>
      <c r="C51" s="1" t="n">
        <v>45471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11639-2020</t>
        </is>
      </c>
      <c r="B52" s="1" t="n">
        <v>43893</v>
      </c>
      <c r="C52" s="1" t="n">
        <v>45471</v>
      </c>
      <c r="D52" t="inlineStr">
        <is>
          <t>ÖREBRO LÄN</t>
        </is>
      </c>
      <c r="E52" t="inlineStr">
        <is>
          <t>NORA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11652-2020</t>
        </is>
      </c>
      <c r="B53" s="1" t="n">
        <v>43893</v>
      </c>
      <c r="C53" s="1" t="n">
        <v>45471</v>
      </c>
      <c r="D53" t="inlineStr">
        <is>
          <t>ÖREBRO LÄN</t>
        </is>
      </c>
      <c r="E53" t="inlineStr">
        <is>
          <t>NORA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11975-2020</t>
        </is>
      </c>
      <c r="B54" s="1" t="n">
        <v>43894</v>
      </c>
      <c r="C54" s="1" t="n">
        <v>45471</v>
      </c>
      <c r="D54" t="inlineStr">
        <is>
          <t>ÖREBRO LÄN</t>
        </is>
      </c>
      <c r="E54" t="inlineStr">
        <is>
          <t>NORA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13745-2020</t>
        </is>
      </c>
      <c r="B55" s="1" t="n">
        <v>43903</v>
      </c>
      <c r="C55" s="1" t="n">
        <v>45471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14196-2020</t>
        </is>
      </c>
      <c r="B56" s="1" t="n">
        <v>43907</v>
      </c>
      <c r="C56" s="1" t="n">
        <v>45471</v>
      </c>
      <c r="D56" t="inlineStr">
        <is>
          <t>ÖREBRO LÄN</t>
        </is>
      </c>
      <c r="E56" t="inlineStr">
        <is>
          <t>NORA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15152-2020</t>
        </is>
      </c>
      <c r="B57" s="1" t="n">
        <v>43912</v>
      </c>
      <c r="C57" s="1" t="n">
        <v>45471</v>
      </c>
      <c r="D57" t="inlineStr">
        <is>
          <t>ÖREBRO LÄN</t>
        </is>
      </c>
      <c r="E57" t="inlineStr">
        <is>
          <t>NORA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15447-2020</t>
        </is>
      </c>
      <c r="B58" s="1" t="n">
        <v>43914</v>
      </c>
      <c r="C58" s="1" t="n">
        <v>45471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15617-2020</t>
        </is>
      </c>
      <c r="B59" s="1" t="n">
        <v>43914</v>
      </c>
      <c r="C59" s="1" t="n">
        <v>45471</v>
      </c>
      <c r="D59" t="inlineStr">
        <is>
          <t>ÖREBRO LÄN</t>
        </is>
      </c>
      <c r="E59" t="inlineStr">
        <is>
          <t>NORA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16319-2020</t>
        </is>
      </c>
      <c r="B60" s="1" t="n">
        <v>43917</v>
      </c>
      <c r="C60" s="1" t="n">
        <v>45471</v>
      </c>
      <c r="D60" t="inlineStr">
        <is>
          <t>ÖREBRO LÄN</t>
        </is>
      </c>
      <c r="E60" t="inlineStr">
        <is>
          <t>NORA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17793-2020</t>
        </is>
      </c>
      <c r="B61" s="1" t="n">
        <v>43924</v>
      </c>
      <c r="C61" s="1" t="n">
        <v>45471</v>
      </c>
      <c r="D61" t="inlineStr">
        <is>
          <t>ÖREBRO LÄN</t>
        </is>
      </c>
      <c r="E61" t="inlineStr">
        <is>
          <t>NORA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18841-2020</t>
        </is>
      </c>
      <c r="B62" s="1" t="n">
        <v>43935</v>
      </c>
      <c r="C62" s="1" t="n">
        <v>45471</v>
      </c>
      <c r="D62" t="inlineStr">
        <is>
          <t>ÖREBRO LÄN</t>
        </is>
      </c>
      <c r="E62" t="inlineStr">
        <is>
          <t>NORA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18975-2020</t>
        </is>
      </c>
      <c r="B63" s="1" t="n">
        <v>43935</v>
      </c>
      <c r="C63" s="1" t="n">
        <v>45471</v>
      </c>
      <c r="D63" t="inlineStr">
        <is>
          <t>ÖREBRO LÄN</t>
        </is>
      </c>
      <c r="E63" t="inlineStr">
        <is>
          <t>NORA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19038-2020</t>
        </is>
      </c>
      <c r="B64" s="1" t="n">
        <v>43936</v>
      </c>
      <c r="C64" s="1" t="n">
        <v>45471</v>
      </c>
      <c r="D64" t="inlineStr">
        <is>
          <t>ÖREBRO LÄN</t>
        </is>
      </c>
      <c r="E64" t="inlineStr">
        <is>
          <t>NORA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19612-2020</t>
        </is>
      </c>
      <c r="B65" s="1" t="n">
        <v>43941</v>
      </c>
      <c r="C65" s="1" t="n">
        <v>45471</v>
      </c>
      <c r="D65" t="inlineStr">
        <is>
          <t>ÖREBRO LÄN</t>
        </is>
      </c>
      <c r="E65" t="inlineStr">
        <is>
          <t>NORA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22349-2020</t>
        </is>
      </c>
      <c r="B66" s="1" t="n">
        <v>43957</v>
      </c>
      <c r="C66" s="1" t="n">
        <v>45471</v>
      </c>
      <c r="D66" t="inlineStr">
        <is>
          <t>ÖREBRO LÄN</t>
        </is>
      </c>
      <c r="E66" t="inlineStr">
        <is>
          <t>NORA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22353-2020</t>
        </is>
      </c>
      <c r="B67" s="1" t="n">
        <v>43957</v>
      </c>
      <c r="C67" s="1" t="n">
        <v>45471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24329-2020</t>
        </is>
      </c>
      <c r="B68" s="1" t="n">
        <v>43976</v>
      </c>
      <c r="C68" s="1" t="n">
        <v>45471</v>
      </c>
      <c r="D68" t="inlineStr">
        <is>
          <t>ÖREBRO LÄN</t>
        </is>
      </c>
      <c r="E68" t="inlineStr">
        <is>
          <t>NORA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26282-2020</t>
        </is>
      </c>
      <c r="B69" s="1" t="n">
        <v>43986</v>
      </c>
      <c r="C69" s="1" t="n">
        <v>45471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27586-2020</t>
        </is>
      </c>
      <c r="B70" s="1" t="n">
        <v>43993</v>
      </c>
      <c r="C70" s="1" t="n">
        <v>45471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27587-2020</t>
        </is>
      </c>
      <c r="B71" s="1" t="n">
        <v>43993</v>
      </c>
      <c r="C71" s="1" t="n">
        <v>45471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29682-2020</t>
        </is>
      </c>
      <c r="B72" s="1" t="n">
        <v>44005</v>
      </c>
      <c r="C72" s="1" t="n">
        <v>45471</v>
      </c>
      <c r="D72" t="inlineStr">
        <is>
          <t>ÖREBRO LÄN</t>
        </is>
      </c>
      <c r="E72" t="inlineStr">
        <is>
          <t>NORA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29746-2020</t>
        </is>
      </c>
      <c r="B73" s="1" t="n">
        <v>44005</v>
      </c>
      <c r="C73" s="1" t="n">
        <v>45471</v>
      </c>
      <c r="D73" t="inlineStr">
        <is>
          <t>ÖREBRO LÄN</t>
        </is>
      </c>
      <c r="E73" t="inlineStr">
        <is>
          <t>NORA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31184-2020</t>
        </is>
      </c>
      <c r="B74" s="1" t="n">
        <v>44012</v>
      </c>
      <c r="C74" s="1" t="n">
        <v>45471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34553-2020</t>
        </is>
      </c>
      <c r="B75" s="1" t="n">
        <v>44032</v>
      </c>
      <c r="C75" s="1" t="n">
        <v>45471</v>
      </c>
      <c r="D75" t="inlineStr">
        <is>
          <t>ÖREBRO LÄN</t>
        </is>
      </c>
      <c r="E75" t="inlineStr">
        <is>
          <t>NORA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36797-2020</t>
        </is>
      </c>
      <c r="B76" s="1" t="n">
        <v>44053</v>
      </c>
      <c r="C76" s="1" t="n">
        <v>45471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37675-2020</t>
        </is>
      </c>
      <c r="B77" s="1" t="n">
        <v>44056</v>
      </c>
      <c r="C77" s="1" t="n">
        <v>45471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38303-2020</t>
        </is>
      </c>
      <c r="B78" s="1" t="n">
        <v>44060</v>
      </c>
      <c r="C78" s="1" t="n">
        <v>45471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38284-2020</t>
        </is>
      </c>
      <c r="B79" s="1" t="n">
        <v>44060</v>
      </c>
      <c r="C79" s="1" t="n">
        <v>45471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38707-2020</t>
        </is>
      </c>
      <c r="B80" s="1" t="n">
        <v>44061</v>
      </c>
      <c r="C80" s="1" t="n">
        <v>45471</v>
      </c>
      <c r="D80" t="inlineStr">
        <is>
          <t>ÖREBRO LÄN</t>
        </is>
      </c>
      <c r="E80" t="inlineStr">
        <is>
          <t>NORA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41089-2020</t>
        </is>
      </c>
      <c r="B81" s="1" t="n">
        <v>44071</v>
      </c>
      <c r="C81" s="1" t="n">
        <v>45471</v>
      </c>
      <c r="D81" t="inlineStr">
        <is>
          <t>ÖREBRO LÄN</t>
        </is>
      </c>
      <c r="E81" t="inlineStr">
        <is>
          <t>NORA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43126-2020</t>
        </is>
      </c>
      <c r="B82" s="1" t="n">
        <v>44079</v>
      </c>
      <c r="C82" s="1" t="n">
        <v>45471</v>
      </c>
      <c r="D82" t="inlineStr">
        <is>
          <t>ÖREBRO LÄN</t>
        </is>
      </c>
      <c r="E82" t="inlineStr">
        <is>
          <t>NORA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45038-2020</t>
        </is>
      </c>
      <c r="B83" s="1" t="n">
        <v>44088</v>
      </c>
      <c r="C83" s="1" t="n">
        <v>45471</v>
      </c>
      <c r="D83" t="inlineStr">
        <is>
          <t>ÖREBRO LÄN</t>
        </is>
      </c>
      <c r="E83" t="inlineStr">
        <is>
          <t>NORA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47913-2020</t>
        </is>
      </c>
      <c r="B84" s="1" t="n">
        <v>44099</v>
      </c>
      <c r="C84" s="1" t="n">
        <v>45471</v>
      </c>
      <c r="D84" t="inlineStr">
        <is>
          <t>ÖREBRO LÄN</t>
        </is>
      </c>
      <c r="E84" t="inlineStr">
        <is>
          <t>NORA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49732-2020</t>
        </is>
      </c>
      <c r="B85" s="1" t="n">
        <v>44106</v>
      </c>
      <c r="C85" s="1" t="n">
        <v>45471</v>
      </c>
      <c r="D85" t="inlineStr">
        <is>
          <t>ÖREBRO LÄN</t>
        </is>
      </c>
      <c r="E85" t="inlineStr">
        <is>
          <t>NORA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49781-2020</t>
        </is>
      </c>
      <c r="B86" s="1" t="n">
        <v>44106</v>
      </c>
      <c r="C86" s="1" t="n">
        <v>45471</v>
      </c>
      <c r="D86" t="inlineStr">
        <is>
          <t>ÖREBRO LÄN</t>
        </is>
      </c>
      <c r="E86" t="inlineStr">
        <is>
          <t>NORA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49724-2020</t>
        </is>
      </c>
      <c r="B87" s="1" t="n">
        <v>44106</v>
      </c>
      <c r="C87" s="1" t="n">
        <v>45471</v>
      </c>
      <c r="D87" t="inlineStr">
        <is>
          <t>ÖREBRO LÄN</t>
        </is>
      </c>
      <c r="E87" t="inlineStr">
        <is>
          <t>NORA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49775-2020</t>
        </is>
      </c>
      <c r="B88" s="1" t="n">
        <v>44106</v>
      </c>
      <c r="C88" s="1" t="n">
        <v>45471</v>
      </c>
      <c r="D88" t="inlineStr">
        <is>
          <t>ÖREBRO LÄN</t>
        </is>
      </c>
      <c r="E88" t="inlineStr">
        <is>
          <t>NORA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49878-2020</t>
        </is>
      </c>
      <c r="B89" s="1" t="n">
        <v>44107</v>
      </c>
      <c r="C89" s="1" t="n">
        <v>45471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50309-2020</t>
        </is>
      </c>
      <c r="B90" s="1" t="n">
        <v>44110</v>
      </c>
      <c r="C90" s="1" t="n">
        <v>45471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50588-2020</t>
        </is>
      </c>
      <c r="B91" s="1" t="n">
        <v>44110</v>
      </c>
      <c r="C91" s="1" t="n">
        <v>45471</v>
      </c>
      <c r="D91" t="inlineStr">
        <is>
          <t>ÖREBRO LÄN</t>
        </is>
      </c>
      <c r="E91" t="inlineStr">
        <is>
          <t>NORA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50720-2020</t>
        </is>
      </c>
      <c r="B92" s="1" t="n">
        <v>44111</v>
      </c>
      <c r="C92" s="1" t="n">
        <v>45471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54502-2020</t>
        </is>
      </c>
      <c r="B93" s="1" t="n">
        <v>44125</v>
      </c>
      <c r="C93" s="1" t="n">
        <v>45471</v>
      </c>
      <c r="D93" t="inlineStr">
        <is>
          <t>ÖREBRO LÄN</t>
        </is>
      </c>
      <c r="E93" t="inlineStr">
        <is>
          <t>NORA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55870-2020</t>
        </is>
      </c>
      <c r="B94" s="1" t="n">
        <v>44132</v>
      </c>
      <c r="C94" s="1" t="n">
        <v>45471</v>
      </c>
      <c r="D94" t="inlineStr">
        <is>
          <t>ÖREBRO LÄN</t>
        </is>
      </c>
      <c r="E94" t="inlineStr">
        <is>
          <t>NORA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57438-2020</t>
        </is>
      </c>
      <c r="B95" s="1" t="n">
        <v>44139</v>
      </c>
      <c r="C95" s="1" t="n">
        <v>45471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60476-2020</t>
        </is>
      </c>
      <c r="B96" s="1" t="n">
        <v>44153</v>
      </c>
      <c r="C96" s="1" t="n">
        <v>45471</v>
      </c>
      <c r="D96" t="inlineStr">
        <is>
          <t>ÖREBRO LÄN</t>
        </is>
      </c>
      <c r="E96" t="inlineStr">
        <is>
          <t>NORA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62161-2020</t>
        </is>
      </c>
      <c r="B97" s="1" t="n">
        <v>44158</v>
      </c>
      <c r="C97" s="1" t="n">
        <v>45471</v>
      </c>
      <c r="D97" t="inlineStr">
        <is>
          <t>ÖREBRO LÄN</t>
        </is>
      </c>
      <c r="E97" t="inlineStr">
        <is>
          <t>NORA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64933-2020</t>
        </is>
      </c>
      <c r="B98" s="1" t="n">
        <v>44172</v>
      </c>
      <c r="C98" s="1" t="n">
        <v>45471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65028-2020</t>
        </is>
      </c>
      <c r="B99" s="1" t="n">
        <v>44172</v>
      </c>
      <c r="C99" s="1" t="n">
        <v>45471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65510-2020</t>
        </is>
      </c>
      <c r="B100" s="1" t="n">
        <v>44173</v>
      </c>
      <c r="C100" s="1" t="n">
        <v>45471</v>
      </c>
      <c r="D100" t="inlineStr">
        <is>
          <t>ÖREBRO LÄN</t>
        </is>
      </c>
      <c r="E100" t="inlineStr">
        <is>
          <t>NORA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65942-2020</t>
        </is>
      </c>
      <c r="B101" s="1" t="n">
        <v>44173</v>
      </c>
      <c r="C101" s="1" t="n">
        <v>45471</v>
      </c>
      <c r="D101" t="inlineStr">
        <is>
          <t>ÖREBRO LÄN</t>
        </is>
      </c>
      <c r="E101" t="inlineStr">
        <is>
          <t>NORA</t>
        </is>
      </c>
      <c r="F101" t="inlineStr">
        <is>
          <t>Övriga Aktiebolag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67425-2020</t>
        </is>
      </c>
      <c r="B102" s="1" t="n">
        <v>44181</v>
      </c>
      <c r="C102" s="1" t="n">
        <v>45471</v>
      </c>
      <c r="D102" t="inlineStr">
        <is>
          <t>ÖREBRO LÄN</t>
        </is>
      </c>
      <c r="E102" t="inlineStr">
        <is>
          <t>NORA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251-2021</t>
        </is>
      </c>
      <c r="B103" s="1" t="n">
        <v>44200</v>
      </c>
      <c r="C103" s="1" t="n">
        <v>45471</v>
      </c>
      <c r="D103" t="inlineStr">
        <is>
          <t>ÖREBRO LÄN</t>
        </is>
      </c>
      <c r="E103" t="inlineStr">
        <is>
          <t>NORA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2304-2021</t>
        </is>
      </c>
      <c r="B104" s="1" t="n">
        <v>44213</v>
      </c>
      <c r="C104" s="1" t="n">
        <v>45471</v>
      </c>
      <c r="D104" t="inlineStr">
        <is>
          <t>ÖREBRO LÄN</t>
        </is>
      </c>
      <c r="E104" t="inlineStr">
        <is>
          <t>NORA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6179-2021</t>
        </is>
      </c>
      <c r="B105" s="1" t="n">
        <v>44232</v>
      </c>
      <c r="C105" s="1" t="n">
        <v>45471</v>
      </c>
      <c r="D105" t="inlineStr">
        <is>
          <t>ÖREBRO LÄN</t>
        </is>
      </c>
      <c r="E105" t="inlineStr">
        <is>
          <t>NORA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6181-2021</t>
        </is>
      </c>
      <c r="B106" s="1" t="n">
        <v>44232</v>
      </c>
      <c r="C106" s="1" t="n">
        <v>45471</v>
      </c>
      <c r="D106" t="inlineStr">
        <is>
          <t>ÖREBRO LÄN</t>
        </is>
      </c>
      <c r="E106" t="inlineStr">
        <is>
          <t>NORA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6270-2021</t>
        </is>
      </c>
      <c r="B107" s="1" t="n">
        <v>44235</v>
      </c>
      <c r="C107" s="1" t="n">
        <v>45471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7147-2021</t>
        </is>
      </c>
      <c r="B108" s="1" t="n">
        <v>44238</v>
      </c>
      <c r="C108" s="1" t="n">
        <v>45471</v>
      </c>
      <c r="D108" t="inlineStr">
        <is>
          <t>ÖREBRO LÄN</t>
        </is>
      </c>
      <c r="E108" t="inlineStr">
        <is>
          <t>NORA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7148-2021</t>
        </is>
      </c>
      <c r="B109" s="1" t="n">
        <v>44238</v>
      </c>
      <c r="C109" s="1" t="n">
        <v>45471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14025-2021</t>
        </is>
      </c>
      <c r="B110" s="1" t="n">
        <v>44277</v>
      </c>
      <c r="C110" s="1" t="n">
        <v>45471</v>
      </c>
      <c r="D110" t="inlineStr">
        <is>
          <t>ÖREBRO LÄN</t>
        </is>
      </c>
      <c r="E110" t="inlineStr">
        <is>
          <t>NORA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15358-2021</t>
        </is>
      </c>
      <c r="B111" s="1" t="n">
        <v>44284</v>
      </c>
      <c r="C111" s="1" t="n">
        <v>45471</v>
      </c>
      <c r="D111" t="inlineStr">
        <is>
          <t>ÖREBRO LÄN</t>
        </is>
      </c>
      <c r="E111" t="inlineStr">
        <is>
          <t>NORA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16326-2021</t>
        </is>
      </c>
      <c r="B112" s="1" t="n">
        <v>44292</v>
      </c>
      <c r="C112" s="1" t="n">
        <v>45471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18134-2021</t>
        </is>
      </c>
      <c r="B113" s="1" t="n">
        <v>44302</v>
      </c>
      <c r="C113" s="1" t="n">
        <v>45471</v>
      </c>
      <c r="D113" t="inlineStr">
        <is>
          <t>ÖREBRO LÄN</t>
        </is>
      </c>
      <c r="E113" t="inlineStr">
        <is>
          <t>NORA</t>
        </is>
      </c>
      <c r="G113" t="n">
        <v>16.8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19166-2021</t>
        </is>
      </c>
      <c r="B114" s="1" t="n">
        <v>44308</v>
      </c>
      <c r="C114" s="1" t="n">
        <v>45471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21449-2021</t>
        </is>
      </c>
      <c r="B115" s="1" t="n">
        <v>44321</v>
      </c>
      <c r="C115" s="1" t="n">
        <v>45471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26278-2021</t>
        </is>
      </c>
      <c r="B116" s="1" t="n">
        <v>44347</v>
      </c>
      <c r="C116" s="1" t="n">
        <v>45471</v>
      </c>
      <c r="D116" t="inlineStr">
        <is>
          <t>ÖREBRO LÄN</t>
        </is>
      </c>
      <c r="E116" t="inlineStr">
        <is>
          <t>NORA</t>
        </is>
      </c>
      <c r="F116" t="inlineStr">
        <is>
          <t>Naturvårdsverket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27648-2021</t>
        </is>
      </c>
      <c r="B117" s="1" t="n">
        <v>44354</v>
      </c>
      <c r="C117" s="1" t="n">
        <v>45471</v>
      </c>
      <c r="D117" t="inlineStr">
        <is>
          <t>ÖREBRO LÄN</t>
        </is>
      </c>
      <c r="E117" t="inlineStr">
        <is>
          <t>NORA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29839-2021</t>
        </is>
      </c>
      <c r="B118" s="1" t="n">
        <v>44362</v>
      </c>
      <c r="C118" s="1" t="n">
        <v>45471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32567-2021</t>
        </is>
      </c>
      <c r="B119" s="1" t="n">
        <v>44375</v>
      </c>
      <c r="C119" s="1" t="n">
        <v>45471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32604-2021</t>
        </is>
      </c>
      <c r="B120" s="1" t="n">
        <v>44375</v>
      </c>
      <c r="C120" s="1" t="n">
        <v>45471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34928-2021</t>
        </is>
      </c>
      <c r="B121" s="1" t="n">
        <v>44383</v>
      </c>
      <c r="C121" s="1" t="n">
        <v>45471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34925-2021</t>
        </is>
      </c>
      <c r="B122" s="1" t="n">
        <v>44383</v>
      </c>
      <c r="C122" s="1" t="n">
        <v>45471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35330-2021</t>
        </is>
      </c>
      <c r="B123" s="1" t="n">
        <v>44384</v>
      </c>
      <c r="C123" s="1" t="n">
        <v>45471</v>
      </c>
      <c r="D123" t="inlineStr">
        <is>
          <t>ÖREBRO LÄN</t>
        </is>
      </c>
      <c r="E123" t="inlineStr">
        <is>
          <t>NORA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35605-2021</t>
        </is>
      </c>
      <c r="B124" s="1" t="n">
        <v>44386</v>
      </c>
      <c r="C124" s="1" t="n">
        <v>45471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35608-2021</t>
        </is>
      </c>
      <c r="B125" s="1" t="n">
        <v>44386</v>
      </c>
      <c r="C125" s="1" t="n">
        <v>45471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38736-2021</t>
        </is>
      </c>
      <c r="B126" s="1" t="n">
        <v>44410</v>
      </c>
      <c r="C126" s="1" t="n">
        <v>45471</v>
      </c>
      <c r="D126" t="inlineStr">
        <is>
          <t>ÖREBRO LÄN</t>
        </is>
      </c>
      <c r="E126" t="inlineStr">
        <is>
          <t>NORA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38798-2021</t>
        </is>
      </c>
      <c r="B127" s="1" t="n">
        <v>44410</v>
      </c>
      <c r="C127" s="1" t="n">
        <v>45471</v>
      </c>
      <c r="D127" t="inlineStr">
        <is>
          <t>ÖREBRO LÄN</t>
        </is>
      </c>
      <c r="E127" t="inlineStr">
        <is>
          <t>NORA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40126-2021</t>
        </is>
      </c>
      <c r="B128" s="1" t="n">
        <v>44418</v>
      </c>
      <c r="C128" s="1" t="n">
        <v>45471</v>
      </c>
      <c r="D128" t="inlineStr">
        <is>
          <t>ÖREBRO LÄN</t>
        </is>
      </c>
      <c r="E128" t="inlineStr">
        <is>
          <t>NORA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40338-2021</t>
        </is>
      </c>
      <c r="B129" s="1" t="n">
        <v>44419</v>
      </c>
      <c r="C129" s="1" t="n">
        <v>45471</v>
      </c>
      <c r="D129" t="inlineStr">
        <is>
          <t>ÖREBRO LÄN</t>
        </is>
      </c>
      <c r="E129" t="inlineStr">
        <is>
          <t>NORA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40643-2021</t>
        </is>
      </c>
      <c r="B130" s="1" t="n">
        <v>44420</v>
      </c>
      <c r="C130" s="1" t="n">
        <v>45471</v>
      </c>
      <c r="D130" t="inlineStr">
        <is>
          <t>ÖREBRO LÄN</t>
        </is>
      </c>
      <c r="E130" t="inlineStr">
        <is>
          <t>NORA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40710-2021</t>
        </is>
      </c>
      <c r="B131" s="1" t="n">
        <v>44420</v>
      </c>
      <c r="C131" s="1" t="n">
        <v>45471</v>
      </c>
      <c r="D131" t="inlineStr">
        <is>
          <t>ÖREBRO LÄN</t>
        </is>
      </c>
      <c r="E131" t="inlineStr">
        <is>
          <t>NORA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40646-2021</t>
        </is>
      </c>
      <c r="B132" s="1" t="n">
        <v>44420</v>
      </c>
      <c r="C132" s="1" t="n">
        <v>45471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41676-2021</t>
        </is>
      </c>
      <c r="B133" s="1" t="n">
        <v>44425</v>
      </c>
      <c r="C133" s="1" t="n">
        <v>45471</v>
      </c>
      <c r="D133" t="inlineStr">
        <is>
          <t>ÖREBRO LÄN</t>
        </is>
      </c>
      <c r="E133" t="inlineStr">
        <is>
          <t>NORA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41669-2021</t>
        </is>
      </c>
      <c r="B134" s="1" t="n">
        <v>44425</v>
      </c>
      <c r="C134" s="1" t="n">
        <v>45471</v>
      </c>
      <c r="D134" t="inlineStr">
        <is>
          <t>ÖREBRO LÄN</t>
        </is>
      </c>
      <c r="E134" t="inlineStr">
        <is>
          <t>NORA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42741-2021</t>
        </is>
      </c>
      <c r="B135" s="1" t="n">
        <v>44428</v>
      </c>
      <c r="C135" s="1" t="n">
        <v>45471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42743-2021</t>
        </is>
      </c>
      <c r="B136" s="1" t="n">
        <v>44428</v>
      </c>
      <c r="C136" s="1" t="n">
        <v>45471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42740-2021</t>
        </is>
      </c>
      <c r="B137" s="1" t="n">
        <v>44428</v>
      </c>
      <c r="C137" s="1" t="n">
        <v>45471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42899-2021</t>
        </is>
      </c>
      <c r="B138" s="1" t="n">
        <v>44431</v>
      </c>
      <c r="C138" s="1" t="n">
        <v>45471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45471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46544-2021</t>
        </is>
      </c>
      <c r="B140" s="1" t="n">
        <v>44445</v>
      </c>
      <c r="C140" s="1" t="n">
        <v>45471</v>
      </c>
      <c r="D140" t="inlineStr">
        <is>
          <t>ÖREBRO LÄN</t>
        </is>
      </c>
      <c r="E140" t="inlineStr">
        <is>
          <t>NORA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47794-2021</t>
        </is>
      </c>
      <c r="B141" s="1" t="n">
        <v>44448</v>
      </c>
      <c r="C141" s="1" t="n">
        <v>45471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47788-2021</t>
        </is>
      </c>
      <c r="B142" s="1" t="n">
        <v>44448</v>
      </c>
      <c r="C142" s="1" t="n">
        <v>45471</v>
      </c>
      <c r="D142" t="inlineStr">
        <is>
          <t>ÖREBRO LÄN</t>
        </is>
      </c>
      <c r="E142" t="inlineStr">
        <is>
          <t>NORA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48105-2021</t>
        </is>
      </c>
      <c r="B143" s="1" t="n">
        <v>44449</v>
      </c>
      <c r="C143" s="1" t="n">
        <v>45471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48961-2021</t>
        </is>
      </c>
      <c r="B144" s="1" t="n">
        <v>44453</v>
      </c>
      <c r="C144" s="1" t="n">
        <v>45471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48960-2021</t>
        </is>
      </c>
      <c r="B145" s="1" t="n">
        <v>44453</v>
      </c>
      <c r="C145" s="1" t="n">
        <v>45471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49135-2021</t>
        </is>
      </c>
      <c r="B146" s="1" t="n">
        <v>44453</v>
      </c>
      <c r="C146" s="1" t="n">
        <v>45471</v>
      </c>
      <c r="D146" t="inlineStr">
        <is>
          <t>ÖREBRO LÄN</t>
        </is>
      </c>
      <c r="E146" t="inlineStr">
        <is>
          <t>NORA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50071-2021</t>
        </is>
      </c>
      <c r="B147" s="1" t="n">
        <v>44456</v>
      </c>
      <c r="C147" s="1" t="n">
        <v>45471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54717-2021</t>
        </is>
      </c>
      <c r="B148" s="1" t="n">
        <v>44473</v>
      </c>
      <c r="C148" s="1" t="n">
        <v>45471</v>
      </c>
      <c r="D148" t="inlineStr">
        <is>
          <t>ÖREBRO LÄN</t>
        </is>
      </c>
      <c r="E148" t="inlineStr">
        <is>
          <t>NORA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55368-2021</t>
        </is>
      </c>
      <c r="B149" s="1" t="n">
        <v>44475</v>
      </c>
      <c r="C149" s="1" t="n">
        <v>45471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55867-2021</t>
        </is>
      </c>
      <c r="B150" s="1" t="n">
        <v>44476</v>
      </c>
      <c r="C150" s="1" t="n">
        <v>45471</v>
      </c>
      <c r="D150" t="inlineStr">
        <is>
          <t>ÖREBRO LÄN</t>
        </is>
      </c>
      <c r="E150" t="inlineStr">
        <is>
          <t>NORA</t>
        </is>
      </c>
      <c r="F150" t="inlineStr">
        <is>
          <t>Kyrkan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55863-2021</t>
        </is>
      </c>
      <c r="B151" s="1" t="n">
        <v>44476</v>
      </c>
      <c r="C151" s="1" t="n">
        <v>45471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56871-2021</t>
        </is>
      </c>
      <c r="B152" s="1" t="n">
        <v>44481</v>
      </c>
      <c r="C152" s="1" t="n">
        <v>45471</v>
      </c>
      <c r="D152" t="inlineStr">
        <is>
          <t>ÖREBRO LÄN</t>
        </is>
      </c>
      <c r="E152" t="inlineStr">
        <is>
          <t>NORA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59590-2021</t>
        </is>
      </c>
      <c r="B153" s="1" t="n">
        <v>44491</v>
      </c>
      <c r="C153" s="1" t="n">
        <v>45471</v>
      </c>
      <c r="D153" t="inlineStr">
        <is>
          <t>ÖREBRO LÄN</t>
        </is>
      </c>
      <c r="E153" t="inlineStr">
        <is>
          <t>NORA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59606-2021</t>
        </is>
      </c>
      <c r="B154" s="1" t="n">
        <v>44491</v>
      </c>
      <c r="C154" s="1" t="n">
        <v>45471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59637-2021</t>
        </is>
      </c>
      <c r="B155" s="1" t="n">
        <v>44493</v>
      </c>
      <c r="C155" s="1" t="n">
        <v>45471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59942-2021</t>
        </is>
      </c>
      <c r="B156" s="1" t="n">
        <v>44494</v>
      </c>
      <c r="C156" s="1" t="n">
        <v>45471</v>
      </c>
      <c r="D156" t="inlineStr">
        <is>
          <t>ÖREBRO LÄN</t>
        </is>
      </c>
      <c r="E156" t="inlineStr">
        <is>
          <t>NORA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60049-2021</t>
        </is>
      </c>
      <c r="B157" s="1" t="n">
        <v>44495</v>
      </c>
      <c r="C157" s="1" t="n">
        <v>45471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62592-2021</t>
        </is>
      </c>
      <c r="B158" s="1" t="n">
        <v>44503</v>
      </c>
      <c r="C158" s="1" t="n">
        <v>45471</v>
      </c>
      <c r="D158" t="inlineStr">
        <is>
          <t>ÖREBRO LÄN</t>
        </is>
      </c>
      <c r="E158" t="inlineStr">
        <is>
          <t>NORA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66672-2021</t>
        </is>
      </c>
      <c r="B159" s="1" t="n">
        <v>44519</v>
      </c>
      <c r="C159" s="1" t="n">
        <v>45471</v>
      </c>
      <c r="D159" t="inlineStr">
        <is>
          <t>ÖREBRO LÄN</t>
        </is>
      </c>
      <c r="E159" t="inlineStr">
        <is>
          <t>NORA</t>
        </is>
      </c>
      <c r="F159" t="inlineStr">
        <is>
          <t>Kommuner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67201-2021</t>
        </is>
      </c>
      <c r="B160" s="1" t="n">
        <v>44523</v>
      </c>
      <c r="C160" s="1" t="n">
        <v>45471</v>
      </c>
      <c r="D160" t="inlineStr">
        <is>
          <t>ÖREBRO LÄN</t>
        </is>
      </c>
      <c r="E160" t="inlineStr">
        <is>
          <t>NORA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67298-2021</t>
        </is>
      </c>
      <c r="B161" s="1" t="n">
        <v>44523</v>
      </c>
      <c r="C161" s="1" t="n">
        <v>45471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68610-2021</t>
        </is>
      </c>
      <c r="B162" s="1" t="n">
        <v>44529</v>
      </c>
      <c r="C162" s="1" t="n">
        <v>45471</v>
      </c>
      <c r="D162" t="inlineStr">
        <is>
          <t>ÖREBRO LÄN</t>
        </is>
      </c>
      <c r="E162" t="inlineStr">
        <is>
          <t>NORA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68890-2021</t>
        </is>
      </c>
      <c r="B163" s="1" t="n">
        <v>44530</v>
      </c>
      <c r="C163" s="1" t="n">
        <v>45471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68887-2021</t>
        </is>
      </c>
      <c r="B164" s="1" t="n">
        <v>44530</v>
      </c>
      <c r="C164" s="1" t="n">
        <v>45471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69731-2021</t>
        </is>
      </c>
      <c r="B165" s="1" t="n">
        <v>44532</v>
      </c>
      <c r="C165" s="1" t="n">
        <v>45471</v>
      </c>
      <c r="D165" t="inlineStr">
        <is>
          <t>ÖREBRO LÄN</t>
        </is>
      </c>
      <c r="E165" t="inlineStr">
        <is>
          <t>NORA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70138-2021</t>
        </is>
      </c>
      <c r="B166" s="1" t="n">
        <v>44533</v>
      </c>
      <c r="C166" s="1" t="n">
        <v>45471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70200-2021</t>
        </is>
      </c>
      <c r="B167" s="1" t="n">
        <v>44534</v>
      </c>
      <c r="C167" s="1" t="n">
        <v>45471</v>
      </c>
      <c r="D167" t="inlineStr">
        <is>
          <t>ÖREBRO LÄN</t>
        </is>
      </c>
      <c r="E167" t="inlineStr">
        <is>
          <t>NORA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70595-2021</t>
        </is>
      </c>
      <c r="B168" s="1" t="n">
        <v>44537</v>
      </c>
      <c r="C168" s="1" t="n">
        <v>45471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73009-2021</t>
        </is>
      </c>
      <c r="B169" s="1" t="n">
        <v>44550</v>
      </c>
      <c r="C169" s="1" t="n">
        <v>45471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74451-2021</t>
        </is>
      </c>
      <c r="B170" s="1" t="n">
        <v>44560</v>
      </c>
      <c r="C170" s="1" t="n">
        <v>45471</v>
      </c>
      <c r="D170" t="inlineStr">
        <is>
          <t>ÖREBRO LÄN</t>
        </is>
      </c>
      <c r="E170" t="inlineStr">
        <is>
          <t>NORA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5049-2022</t>
        </is>
      </c>
      <c r="B171" s="1" t="n">
        <v>44593</v>
      </c>
      <c r="C171" s="1" t="n">
        <v>45471</v>
      </c>
      <c r="D171" t="inlineStr">
        <is>
          <t>ÖREBRO LÄN</t>
        </is>
      </c>
      <c r="E171" t="inlineStr">
        <is>
          <t>NORA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5039-2022</t>
        </is>
      </c>
      <c r="B172" s="1" t="n">
        <v>44593</v>
      </c>
      <c r="C172" s="1" t="n">
        <v>45471</v>
      </c>
      <c r="D172" t="inlineStr">
        <is>
          <t>ÖREBRO LÄN</t>
        </is>
      </c>
      <c r="E172" t="inlineStr">
        <is>
          <t>NORA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5181-2022</t>
        </is>
      </c>
      <c r="B173" s="1" t="n">
        <v>44593</v>
      </c>
      <c r="C173" s="1" t="n">
        <v>45471</v>
      </c>
      <c r="D173" t="inlineStr">
        <is>
          <t>ÖREBRO LÄN</t>
        </is>
      </c>
      <c r="E173" t="inlineStr">
        <is>
          <t>NORA</t>
        </is>
      </c>
      <c r="F173" t="inlineStr">
        <is>
          <t>Övriga Aktiebolag</t>
        </is>
      </c>
      <c r="G173" t="n">
        <v>35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5217-2022</t>
        </is>
      </c>
      <c r="B174" s="1" t="n">
        <v>44593</v>
      </c>
      <c r="C174" s="1" t="n">
        <v>45471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6245-2022</t>
        </is>
      </c>
      <c r="B175" s="1" t="n">
        <v>44600</v>
      </c>
      <c r="C175" s="1" t="n">
        <v>45471</v>
      </c>
      <c r="D175" t="inlineStr">
        <is>
          <t>ÖREBRO LÄN</t>
        </is>
      </c>
      <c r="E175" t="inlineStr">
        <is>
          <t>NORA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7413-2022</t>
        </is>
      </c>
      <c r="B176" s="1" t="n">
        <v>44606</v>
      </c>
      <c r="C176" s="1" t="n">
        <v>45471</v>
      </c>
      <c r="D176" t="inlineStr">
        <is>
          <t>ÖREBRO LÄN</t>
        </is>
      </c>
      <c r="E176" t="inlineStr">
        <is>
          <t>NORA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8587-2022</t>
        </is>
      </c>
      <c r="B177" s="1" t="n">
        <v>44613</v>
      </c>
      <c r="C177" s="1" t="n">
        <v>45471</v>
      </c>
      <c r="D177" t="inlineStr">
        <is>
          <t>ÖREBRO LÄN</t>
        </is>
      </c>
      <c r="E177" t="inlineStr">
        <is>
          <t>NORA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8590-2022</t>
        </is>
      </c>
      <c r="B178" s="1" t="n">
        <v>44613</v>
      </c>
      <c r="C178" s="1" t="n">
        <v>45471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8589-2022</t>
        </is>
      </c>
      <c r="B179" s="1" t="n">
        <v>44613</v>
      </c>
      <c r="C179" s="1" t="n">
        <v>45471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9137-2022</t>
        </is>
      </c>
      <c r="B180" s="1" t="n">
        <v>44615</v>
      </c>
      <c r="C180" s="1" t="n">
        <v>45471</v>
      </c>
      <c r="D180" t="inlineStr">
        <is>
          <t>ÖREBRO LÄN</t>
        </is>
      </c>
      <c r="E180" t="inlineStr">
        <is>
          <t>NORA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9754-2022</t>
        </is>
      </c>
      <c r="B181" s="1" t="n">
        <v>44618</v>
      </c>
      <c r="C181" s="1" t="n">
        <v>45471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11631-2022</t>
        </is>
      </c>
      <c r="B182" s="1" t="n">
        <v>44631</v>
      </c>
      <c r="C182" s="1" t="n">
        <v>45471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11632-2022</t>
        </is>
      </c>
      <c r="B183" s="1" t="n">
        <v>44631</v>
      </c>
      <c r="C183" s="1" t="n">
        <v>45471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13493-2022</t>
        </is>
      </c>
      <c r="B184" s="1" t="n">
        <v>44647</v>
      </c>
      <c r="C184" s="1" t="n">
        <v>45471</v>
      </c>
      <c r="D184" t="inlineStr">
        <is>
          <t>ÖREBRO LÄN</t>
        </is>
      </c>
      <c r="E184" t="inlineStr">
        <is>
          <t>NORA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17140-2022</t>
        </is>
      </c>
      <c r="B185" s="1" t="n">
        <v>44677</v>
      </c>
      <c r="C185" s="1" t="n">
        <v>45471</v>
      </c>
      <c r="D185" t="inlineStr">
        <is>
          <t>ÖREBRO LÄN</t>
        </is>
      </c>
      <c r="E185" t="inlineStr">
        <is>
          <t>NORA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17770-2022</t>
        </is>
      </c>
      <c r="B186" s="1" t="n">
        <v>44682</v>
      </c>
      <c r="C186" s="1" t="n">
        <v>45471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18636-2022</t>
        </is>
      </c>
      <c r="B187" s="1" t="n">
        <v>44687</v>
      </c>
      <c r="C187" s="1" t="n">
        <v>45471</v>
      </c>
      <c r="D187" t="inlineStr">
        <is>
          <t>ÖREBRO LÄN</t>
        </is>
      </c>
      <c r="E187" t="inlineStr">
        <is>
          <t>NORA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19183-2022</t>
        </is>
      </c>
      <c r="B188" s="1" t="n">
        <v>44691</v>
      </c>
      <c r="C188" s="1" t="n">
        <v>45471</v>
      </c>
      <c r="D188" t="inlineStr">
        <is>
          <t>ÖREBRO LÄN</t>
        </is>
      </c>
      <c r="E188" t="inlineStr">
        <is>
          <t>NORA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21695-2022</t>
        </is>
      </c>
      <c r="B189" s="1" t="n">
        <v>44707</v>
      </c>
      <c r="C189" s="1" t="n">
        <v>45471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21696-2022</t>
        </is>
      </c>
      <c r="B190" s="1" t="n">
        <v>44707</v>
      </c>
      <c r="C190" s="1" t="n">
        <v>45471</v>
      </c>
      <c r="D190" t="inlineStr">
        <is>
          <t>ÖREBRO LÄN</t>
        </is>
      </c>
      <c r="E190" t="inlineStr">
        <is>
          <t>NORA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22650-2022</t>
        </is>
      </c>
      <c r="B191" s="1" t="n">
        <v>44714</v>
      </c>
      <c r="C191" s="1" t="n">
        <v>45471</v>
      </c>
      <c r="D191" t="inlineStr">
        <is>
          <t>ÖREBRO LÄN</t>
        </is>
      </c>
      <c r="E191" t="inlineStr">
        <is>
          <t>NORA</t>
        </is>
      </c>
      <c r="F191" t="inlineStr">
        <is>
          <t>Kommuner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23535-2022</t>
        </is>
      </c>
      <c r="B192" s="1" t="n">
        <v>44721</v>
      </c>
      <c r="C192" s="1" t="n">
        <v>45471</v>
      </c>
      <c r="D192" t="inlineStr">
        <is>
          <t>ÖREBRO LÄN</t>
        </is>
      </c>
      <c r="E192" t="inlineStr">
        <is>
          <t>NORA</t>
        </is>
      </c>
      <c r="F192" t="inlineStr">
        <is>
          <t>Övriga Aktiebolag</t>
        </is>
      </c>
      <c r="G192" t="n">
        <v>24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25160-2022</t>
        </is>
      </c>
      <c r="B193" s="1" t="n">
        <v>44729</v>
      </c>
      <c r="C193" s="1" t="n">
        <v>45471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25132-2022</t>
        </is>
      </c>
      <c r="B194" s="1" t="n">
        <v>44729</v>
      </c>
      <c r="C194" s="1" t="n">
        <v>45471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26314-2022</t>
        </is>
      </c>
      <c r="B195" s="1" t="n">
        <v>44735</v>
      </c>
      <c r="C195" s="1" t="n">
        <v>45471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26329-2022</t>
        </is>
      </c>
      <c r="B196" s="1" t="n">
        <v>44735</v>
      </c>
      <c r="C196" s="1" t="n">
        <v>45471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26326-2022</t>
        </is>
      </c>
      <c r="B197" s="1" t="n">
        <v>44735</v>
      </c>
      <c r="C197" s="1" t="n">
        <v>45471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26320-2022</t>
        </is>
      </c>
      <c r="B198" s="1" t="n">
        <v>44735</v>
      </c>
      <c r="C198" s="1" t="n">
        <v>45471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26874-2022</t>
        </is>
      </c>
      <c r="B199" s="1" t="n">
        <v>44740</v>
      </c>
      <c r="C199" s="1" t="n">
        <v>45471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26870-2022</t>
        </is>
      </c>
      <c r="B200" s="1" t="n">
        <v>44740</v>
      </c>
      <c r="C200" s="1" t="n">
        <v>45471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26916-2022</t>
        </is>
      </c>
      <c r="B201" s="1" t="n">
        <v>44740</v>
      </c>
      <c r="C201" s="1" t="n">
        <v>45471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27618-2022</t>
        </is>
      </c>
      <c r="B202" s="1" t="n">
        <v>44743</v>
      </c>
      <c r="C202" s="1" t="n">
        <v>45471</v>
      </c>
      <c r="D202" t="inlineStr">
        <is>
          <t>ÖREBRO LÄN</t>
        </is>
      </c>
      <c r="E202" t="inlineStr">
        <is>
          <t>NORA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27752-2022</t>
        </is>
      </c>
      <c r="B203" s="1" t="n">
        <v>44743</v>
      </c>
      <c r="C203" s="1" t="n">
        <v>45471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29262-2022</t>
        </is>
      </c>
      <c r="B204" s="1" t="n">
        <v>44750</v>
      </c>
      <c r="C204" s="1" t="n">
        <v>45471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30422-2022</t>
        </is>
      </c>
      <c r="B205" s="1" t="n">
        <v>44761</v>
      </c>
      <c r="C205" s="1" t="n">
        <v>45471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32083-2022</t>
        </is>
      </c>
      <c r="B206" s="1" t="n">
        <v>44778</v>
      </c>
      <c r="C206" s="1" t="n">
        <v>45471</v>
      </c>
      <c r="D206" t="inlineStr">
        <is>
          <t>ÖREBRO LÄN</t>
        </is>
      </c>
      <c r="E206" t="inlineStr">
        <is>
          <t>NORA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33750-2022</t>
        </is>
      </c>
      <c r="B207" s="1" t="n">
        <v>44790</v>
      </c>
      <c r="C207" s="1" t="n">
        <v>45471</v>
      </c>
      <c r="D207" t="inlineStr">
        <is>
          <t>ÖREBRO LÄN</t>
        </is>
      </c>
      <c r="E207" t="inlineStr">
        <is>
          <t>NORA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34026-2022</t>
        </is>
      </c>
      <c r="B208" s="1" t="n">
        <v>44791</v>
      </c>
      <c r="C208" s="1" t="n">
        <v>45471</v>
      </c>
      <c r="D208" t="inlineStr">
        <is>
          <t>ÖREBRO LÄN</t>
        </is>
      </c>
      <c r="E208" t="inlineStr">
        <is>
          <t>NORA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34141-2022</t>
        </is>
      </c>
      <c r="B209" s="1" t="n">
        <v>44791</v>
      </c>
      <c r="C209" s="1" t="n">
        <v>45471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34164-2022</t>
        </is>
      </c>
      <c r="B210" s="1" t="n">
        <v>44791</v>
      </c>
      <c r="C210" s="1" t="n">
        <v>45471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34195-2022</t>
        </is>
      </c>
      <c r="B211" s="1" t="n">
        <v>44791</v>
      </c>
      <c r="C211" s="1" t="n">
        <v>45471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34204-2022</t>
        </is>
      </c>
      <c r="B212" s="1" t="n">
        <v>44791</v>
      </c>
      <c r="C212" s="1" t="n">
        <v>45471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34201-2022</t>
        </is>
      </c>
      <c r="B213" s="1" t="n">
        <v>44791</v>
      </c>
      <c r="C213" s="1" t="n">
        <v>45471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34200-2022</t>
        </is>
      </c>
      <c r="B214" s="1" t="n">
        <v>44791</v>
      </c>
      <c r="C214" s="1" t="n">
        <v>45471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34206-2022</t>
        </is>
      </c>
      <c r="B215" s="1" t="n">
        <v>44791</v>
      </c>
      <c r="C215" s="1" t="n">
        <v>45471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34193-2022</t>
        </is>
      </c>
      <c r="B216" s="1" t="n">
        <v>44791</v>
      </c>
      <c r="C216" s="1" t="n">
        <v>45471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35671-2022</t>
        </is>
      </c>
      <c r="B217" s="1" t="n">
        <v>44799</v>
      </c>
      <c r="C217" s="1" t="n">
        <v>45471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35673-2022</t>
        </is>
      </c>
      <c r="B218" s="1" t="n">
        <v>44799</v>
      </c>
      <c r="C218" s="1" t="n">
        <v>45471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35670-2022</t>
        </is>
      </c>
      <c r="B219" s="1" t="n">
        <v>44799</v>
      </c>
      <c r="C219" s="1" t="n">
        <v>45471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35731-2022</t>
        </is>
      </c>
      <c r="B220" s="1" t="n">
        <v>44799</v>
      </c>
      <c r="C220" s="1" t="n">
        <v>45471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35730-2022</t>
        </is>
      </c>
      <c r="B221" s="1" t="n">
        <v>44799</v>
      </c>
      <c r="C221" s="1" t="n">
        <v>45471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35870-2022</t>
        </is>
      </c>
      <c r="B222" s="1" t="n">
        <v>44802</v>
      </c>
      <c r="C222" s="1" t="n">
        <v>45471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37260-2022</t>
        </is>
      </c>
      <c r="B223" s="1" t="n">
        <v>44807</v>
      </c>
      <c r="C223" s="1" t="n">
        <v>45471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37265-2022</t>
        </is>
      </c>
      <c r="B224" s="1" t="n">
        <v>44807</v>
      </c>
      <c r="C224" s="1" t="n">
        <v>45471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37262-2022</t>
        </is>
      </c>
      <c r="B225" s="1" t="n">
        <v>44807</v>
      </c>
      <c r="C225" s="1" t="n">
        <v>45471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37261-2022</t>
        </is>
      </c>
      <c r="B226" s="1" t="n">
        <v>44807</v>
      </c>
      <c r="C226" s="1" t="n">
        <v>45471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37266-2022</t>
        </is>
      </c>
      <c r="B227" s="1" t="n">
        <v>44807</v>
      </c>
      <c r="C227" s="1" t="n">
        <v>45471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37259-2022</t>
        </is>
      </c>
      <c r="B228" s="1" t="n">
        <v>44807</v>
      </c>
      <c r="C228" s="1" t="n">
        <v>45471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37263-2022</t>
        </is>
      </c>
      <c r="B229" s="1" t="n">
        <v>44807</v>
      </c>
      <c r="C229" s="1" t="n">
        <v>45471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38698-2022</t>
        </is>
      </c>
      <c r="B230" s="1" t="n">
        <v>44814</v>
      </c>
      <c r="C230" s="1" t="n">
        <v>45471</v>
      </c>
      <c r="D230" t="inlineStr">
        <is>
          <t>ÖREBRO LÄN</t>
        </is>
      </c>
      <c r="E230" t="inlineStr">
        <is>
          <t>NORA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38696-2022</t>
        </is>
      </c>
      <c r="B231" s="1" t="n">
        <v>44814</v>
      </c>
      <c r="C231" s="1" t="n">
        <v>45471</v>
      </c>
      <c r="D231" t="inlineStr">
        <is>
          <t>ÖREBRO LÄN</t>
        </is>
      </c>
      <c r="E231" t="inlineStr">
        <is>
          <t>NORA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38697-2022</t>
        </is>
      </c>
      <c r="B232" s="1" t="n">
        <v>44814</v>
      </c>
      <c r="C232" s="1" t="n">
        <v>45471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39710-2022</t>
        </is>
      </c>
      <c r="B233" s="1" t="n">
        <v>44819</v>
      </c>
      <c r="C233" s="1" t="n">
        <v>45471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39707-2022</t>
        </is>
      </c>
      <c r="B234" s="1" t="n">
        <v>44819</v>
      </c>
      <c r="C234" s="1" t="n">
        <v>45471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39709-2022</t>
        </is>
      </c>
      <c r="B235" s="1" t="n">
        <v>44819</v>
      </c>
      <c r="C235" s="1" t="n">
        <v>45471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39708-2022</t>
        </is>
      </c>
      <c r="B236" s="1" t="n">
        <v>44819</v>
      </c>
      <c r="C236" s="1" t="n">
        <v>45471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43254-2022</t>
        </is>
      </c>
      <c r="B237" s="1" t="n">
        <v>44834</v>
      </c>
      <c r="C237" s="1" t="n">
        <v>45471</v>
      </c>
      <c r="D237" t="inlineStr">
        <is>
          <t>ÖREBRO LÄN</t>
        </is>
      </c>
      <c r="E237" t="inlineStr">
        <is>
          <t>NORA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43941-2022</t>
        </is>
      </c>
      <c r="B238" s="1" t="n">
        <v>44838</v>
      </c>
      <c r="C238" s="1" t="n">
        <v>45471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44996-2022</t>
        </is>
      </c>
      <c r="B239" s="1" t="n">
        <v>44841</v>
      </c>
      <c r="C239" s="1" t="n">
        <v>45471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44995-2022</t>
        </is>
      </c>
      <c r="B240" s="1" t="n">
        <v>44841</v>
      </c>
      <c r="C240" s="1" t="n">
        <v>45471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44850-2022</t>
        </is>
      </c>
      <c r="B241" s="1" t="n">
        <v>44841</v>
      </c>
      <c r="C241" s="1" t="n">
        <v>45471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44993-2022</t>
        </is>
      </c>
      <c r="B242" s="1" t="n">
        <v>44841</v>
      </c>
      <c r="C242" s="1" t="n">
        <v>45471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45066-2022</t>
        </is>
      </c>
      <c r="B243" s="1" t="n">
        <v>44841</v>
      </c>
      <c r="C243" s="1" t="n">
        <v>45471</v>
      </c>
      <c r="D243" t="inlineStr">
        <is>
          <t>ÖREBRO LÄN</t>
        </is>
      </c>
      <c r="E243" t="inlineStr">
        <is>
          <t>NORA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45645-2022</t>
        </is>
      </c>
      <c r="B244" s="1" t="n">
        <v>44845</v>
      </c>
      <c r="C244" s="1" t="n">
        <v>45471</v>
      </c>
      <c r="D244" t="inlineStr">
        <is>
          <t>ÖREBRO LÄN</t>
        </is>
      </c>
      <c r="E244" t="inlineStr">
        <is>
          <t>NORA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46806-2022</t>
        </is>
      </c>
      <c r="B245" s="1" t="n">
        <v>44851</v>
      </c>
      <c r="C245" s="1" t="n">
        <v>45471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48707-2022</t>
        </is>
      </c>
      <c r="B246" s="1" t="n">
        <v>44859</v>
      </c>
      <c r="C246" s="1" t="n">
        <v>45471</v>
      </c>
      <c r="D246" t="inlineStr">
        <is>
          <t>ÖREBRO LÄN</t>
        </is>
      </c>
      <c r="E246" t="inlineStr">
        <is>
          <t>NORA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49135-2022</t>
        </is>
      </c>
      <c r="B247" s="1" t="n">
        <v>44860</v>
      </c>
      <c r="C247" s="1" t="n">
        <v>45471</v>
      </c>
      <c r="D247" t="inlineStr">
        <is>
          <t>ÖREBRO LÄN</t>
        </is>
      </c>
      <c r="E247" t="inlineStr">
        <is>
          <t>NORA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49632-2022</t>
        </is>
      </c>
      <c r="B248" s="1" t="n">
        <v>44862</v>
      </c>
      <c r="C248" s="1" t="n">
        <v>45471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49635-2022</t>
        </is>
      </c>
      <c r="B249" s="1" t="n">
        <v>44862</v>
      </c>
      <c r="C249" s="1" t="n">
        <v>45471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49633-2022</t>
        </is>
      </c>
      <c r="B250" s="1" t="n">
        <v>44862</v>
      </c>
      <c r="C250" s="1" t="n">
        <v>45471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49629-2022</t>
        </is>
      </c>
      <c r="B251" s="1" t="n">
        <v>44862</v>
      </c>
      <c r="C251" s="1" t="n">
        <v>45471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49634-2022</t>
        </is>
      </c>
      <c r="B252" s="1" t="n">
        <v>44862</v>
      </c>
      <c r="C252" s="1" t="n">
        <v>45471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49903-2022</t>
        </is>
      </c>
      <c r="B253" s="1" t="n">
        <v>44864</v>
      </c>
      <c r="C253" s="1" t="n">
        <v>45471</v>
      </c>
      <c r="D253" t="inlineStr">
        <is>
          <t>ÖREBRO LÄN</t>
        </is>
      </c>
      <c r="E253" t="inlineStr">
        <is>
          <t>NORA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50003-2022</t>
        </is>
      </c>
      <c r="B254" s="1" t="n">
        <v>44865</v>
      </c>
      <c r="C254" s="1" t="n">
        <v>45471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50208-2022</t>
        </is>
      </c>
      <c r="B255" s="1" t="n">
        <v>44865</v>
      </c>
      <c r="C255" s="1" t="n">
        <v>45471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53148-2022</t>
        </is>
      </c>
      <c r="B256" s="1" t="n">
        <v>44876</v>
      </c>
      <c r="C256" s="1" t="n">
        <v>45471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53132-2022</t>
        </is>
      </c>
      <c r="B257" s="1" t="n">
        <v>44876</v>
      </c>
      <c r="C257" s="1" t="n">
        <v>45471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53165-2022</t>
        </is>
      </c>
      <c r="B258" s="1" t="n">
        <v>44876</v>
      </c>
      <c r="C258" s="1" t="n">
        <v>45471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53209-2022</t>
        </is>
      </c>
      <c r="B259" s="1" t="n">
        <v>44876</v>
      </c>
      <c r="C259" s="1" t="n">
        <v>45471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53472-2022</t>
        </is>
      </c>
      <c r="B260" s="1" t="n">
        <v>44879</v>
      </c>
      <c r="C260" s="1" t="n">
        <v>45471</v>
      </c>
      <c r="D260" t="inlineStr">
        <is>
          <t>ÖREBRO LÄN</t>
        </is>
      </c>
      <c r="E260" t="inlineStr">
        <is>
          <t>NORA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56112-2022</t>
        </is>
      </c>
      <c r="B261" s="1" t="n">
        <v>44886</v>
      </c>
      <c r="C261" s="1" t="n">
        <v>45471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55310-2022</t>
        </is>
      </c>
      <c r="B262" s="1" t="n">
        <v>44887</v>
      </c>
      <c r="C262" s="1" t="n">
        <v>45471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55311-2022</t>
        </is>
      </c>
      <c r="B263" s="1" t="n">
        <v>44887</v>
      </c>
      <c r="C263" s="1" t="n">
        <v>45471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55497-2022</t>
        </is>
      </c>
      <c r="B264" s="1" t="n">
        <v>44887</v>
      </c>
      <c r="C264" s="1" t="n">
        <v>45471</v>
      </c>
      <c r="D264" t="inlineStr">
        <is>
          <t>ÖREBRO LÄN</t>
        </is>
      </c>
      <c r="E264" t="inlineStr">
        <is>
          <t>NORA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56136-2022</t>
        </is>
      </c>
      <c r="B265" s="1" t="n">
        <v>44889</v>
      </c>
      <c r="C265" s="1" t="n">
        <v>45471</v>
      </c>
      <c r="D265" t="inlineStr">
        <is>
          <t>ÖREBRO LÄN</t>
        </is>
      </c>
      <c r="E265" t="inlineStr">
        <is>
          <t>NORA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57316-2022</t>
        </is>
      </c>
      <c r="B266" s="1" t="n">
        <v>44896</v>
      </c>
      <c r="C266" s="1" t="n">
        <v>45471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57372-2022</t>
        </is>
      </c>
      <c r="B267" s="1" t="n">
        <v>44896</v>
      </c>
      <c r="C267" s="1" t="n">
        <v>45471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57666-2022</t>
        </is>
      </c>
      <c r="B268" s="1" t="n">
        <v>44897</v>
      </c>
      <c r="C268" s="1" t="n">
        <v>45471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59549-2022</t>
        </is>
      </c>
      <c r="B269" s="1" t="n">
        <v>44907</v>
      </c>
      <c r="C269" s="1" t="n">
        <v>45471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59552-2022</t>
        </is>
      </c>
      <c r="B270" s="1" t="n">
        <v>44907</v>
      </c>
      <c r="C270" s="1" t="n">
        <v>45471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59550-2022</t>
        </is>
      </c>
      <c r="B271" s="1" t="n">
        <v>44907</v>
      </c>
      <c r="C271" s="1" t="n">
        <v>45471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60397-2022</t>
        </is>
      </c>
      <c r="B272" s="1" t="n">
        <v>44910</v>
      </c>
      <c r="C272" s="1" t="n">
        <v>45471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61559-2022</t>
        </is>
      </c>
      <c r="B273" s="1" t="n">
        <v>44916</v>
      </c>
      <c r="C273" s="1" t="n">
        <v>45471</v>
      </c>
      <c r="D273" t="inlineStr">
        <is>
          <t>ÖREBRO LÄN</t>
        </is>
      </c>
      <c r="E273" t="inlineStr">
        <is>
          <t>NORA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1433-2023</t>
        </is>
      </c>
      <c r="B274" s="1" t="n">
        <v>44931</v>
      </c>
      <c r="C274" s="1" t="n">
        <v>45471</v>
      </c>
      <c r="D274" t="inlineStr">
        <is>
          <t>ÖREBRO LÄN</t>
        </is>
      </c>
      <c r="E274" t="inlineStr">
        <is>
          <t>NORA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1555-2023</t>
        </is>
      </c>
      <c r="B275" s="1" t="n">
        <v>44937</v>
      </c>
      <c r="C275" s="1" t="n">
        <v>45471</v>
      </c>
      <c r="D275" t="inlineStr">
        <is>
          <t>ÖREBRO LÄN</t>
        </is>
      </c>
      <c r="E275" t="inlineStr">
        <is>
          <t>NORA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4294-2023</t>
        </is>
      </c>
      <c r="B276" s="1" t="n">
        <v>44953</v>
      </c>
      <c r="C276" s="1" t="n">
        <v>45471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4723-2023</t>
        </is>
      </c>
      <c r="B277" s="1" t="n">
        <v>44957</v>
      </c>
      <c r="C277" s="1" t="n">
        <v>45471</v>
      </c>
      <c r="D277" t="inlineStr">
        <is>
          <t>ÖREBRO LÄN</t>
        </is>
      </c>
      <c r="E277" t="inlineStr">
        <is>
          <t>NORA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4910-2023</t>
        </is>
      </c>
      <c r="B278" s="1" t="n">
        <v>44958</v>
      </c>
      <c r="C278" s="1" t="n">
        <v>45471</v>
      </c>
      <c r="D278" t="inlineStr">
        <is>
          <t>ÖREBRO LÄN</t>
        </is>
      </c>
      <c r="E278" t="inlineStr">
        <is>
          <t>NORA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4977-2023</t>
        </is>
      </c>
      <c r="B279" s="1" t="n">
        <v>44958</v>
      </c>
      <c r="C279" s="1" t="n">
        <v>45471</v>
      </c>
      <c r="D279" t="inlineStr">
        <is>
          <t>ÖREBRO LÄN</t>
        </is>
      </c>
      <c r="E279" t="inlineStr">
        <is>
          <t>NORA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5674-2023</t>
        </is>
      </c>
      <c r="B280" s="1" t="n">
        <v>44960</v>
      </c>
      <c r="C280" s="1" t="n">
        <v>45471</v>
      </c>
      <c r="D280" t="inlineStr">
        <is>
          <t>ÖREBRO LÄN</t>
        </is>
      </c>
      <c r="E280" t="inlineStr">
        <is>
          <t>NORA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6588-2023</t>
        </is>
      </c>
      <c r="B281" s="1" t="n">
        <v>44966</v>
      </c>
      <c r="C281" s="1" t="n">
        <v>45471</v>
      </c>
      <c r="D281" t="inlineStr">
        <is>
          <t>ÖREBRO LÄN</t>
        </is>
      </c>
      <c r="E281" t="inlineStr">
        <is>
          <t>NORA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6592-2023</t>
        </is>
      </c>
      <c r="B282" s="1" t="n">
        <v>44966</v>
      </c>
      <c r="C282" s="1" t="n">
        <v>45471</v>
      </c>
      <c r="D282" t="inlineStr">
        <is>
          <t>ÖREBRO LÄN</t>
        </is>
      </c>
      <c r="E282" t="inlineStr">
        <is>
          <t>NORA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8307-2023</t>
        </is>
      </c>
      <c r="B283" s="1" t="n">
        <v>44974</v>
      </c>
      <c r="C283" s="1" t="n">
        <v>45471</v>
      </c>
      <c r="D283" t="inlineStr">
        <is>
          <t>ÖREBRO LÄN</t>
        </is>
      </c>
      <c r="E283" t="inlineStr">
        <is>
          <t>NORA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10854-2023</t>
        </is>
      </c>
      <c r="B284" s="1" t="n">
        <v>44991</v>
      </c>
      <c r="C284" s="1" t="n">
        <v>45471</v>
      </c>
      <c r="D284" t="inlineStr">
        <is>
          <t>ÖREBRO LÄN</t>
        </is>
      </c>
      <c r="E284" t="inlineStr">
        <is>
          <t>NORA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12701-2023</t>
        </is>
      </c>
      <c r="B285" s="1" t="n">
        <v>45000</v>
      </c>
      <c r="C285" s="1" t="n">
        <v>45471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12699-2023</t>
        </is>
      </c>
      <c r="B286" s="1" t="n">
        <v>45000</v>
      </c>
      <c r="C286" s="1" t="n">
        <v>45471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12698-2023</t>
        </is>
      </c>
      <c r="B287" s="1" t="n">
        <v>45000</v>
      </c>
      <c r="C287" s="1" t="n">
        <v>45471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13306-2023</t>
        </is>
      </c>
      <c r="B288" s="1" t="n">
        <v>45005</v>
      </c>
      <c r="C288" s="1" t="n">
        <v>45471</v>
      </c>
      <c r="D288" t="inlineStr">
        <is>
          <t>ÖREBRO LÄN</t>
        </is>
      </c>
      <c r="E288" t="inlineStr">
        <is>
          <t>NORA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13459-2023</t>
        </is>
      </c>
      <c r="B289" s="1" t="n">
        <v>45005</v>
      </c>
      <c r="C289" s="1" t="n">
        <v>45471</v>
      </c>
      <c r="D289" t="inlineStr">
        <is>
          <t>ÖREBRO LÄN</t>
        </is>
      </c>
      <c r="E289" t="inlineStr">
        <is>
          <t>NORA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13431-2023</t>
        </is>
      </c>
      <c r="B290" s="1" t="n">
        <v>45005</v>
      </c>
      <c r="C290" s="1" t="n">
        <v>45471</v>
      </c>
      <c r="D290" t="inlineStr">
        <is>
          <t>ÖREBRO LÄN</t>
        </is>
      </c>
      <c r="E290" t="inlineStr">
        <is>
          <t>NORA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15012-2023</t>
        </is>
      </c>
      <c r="B291" s="1" t="n">
        <v>45015</v>
      </c>
      <c r="C291" s="1" t="n">
        <v>45471</v>
      </c>
      <c r="D291" t="inlineStr">
        <is>
          <t>ÖREBRO LÄN</t>
        </is>
      </c>
      <c r="E291" t="inlineStr">
        <is>
          <t>NORA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15246-2023</t>
        </is>
      </c>
      <c r="B292" s="1" t="n">
        <v>45019</v>
      </c>
      <c r="C292" s="1" t="n">
        <v>45471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15245-2023</t>
        </is>
      </c>
      <c r="B293" s="1" t="n">
        <v>45019</v>
      </c>
      <c r="C293" s="1" t="n">
        <v>45471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16063-2023</t>
        </is>
      </c>
      <c r="B294" s="1" t="n">
        <v>45027</v>
      </c>
      <c r="C294" s="1" t="n">
        <v>45471</v>
      </c>
      <c r="D294" t="inlineStr">
        <is>
          <t>ÖREBRO LÄN</t>
        </is>
      </c>
      <c r="E294" t="inlineStr">
        <is>
          <t>NORA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16923-2023</t>
        </is>
      </c>
      <c r="B295" s="1" t="n">
        <v>45033</v>
      </c>
      <c r="C295" s="1" t="n">
        <v>45471</v>
      </c>
      <c r="D295" t="inlineStr">
        <is>
          <t>ÖREBRO LÄN</t>
        </is>
      </c>
      <c r="E295" t="inlineStr">
        <is>
          <t>NORA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19273-2023</t>
        </is>
      </c>
      <c r="B296" s="1" t="n">
        <v>45049</v>
      </c>
      <c r="C296" s="1" t="n">
        <v>45471</v>
      </c>
      <c r="D296" t="inlineStr">
        <is>
          <t>ÖREBRO LÄN</t>
        </is>
      </c>
      <c r="E296" t="inlineStr">
        <is>
          <t>NORA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19571-2023</t>
        </is>
      </c>
      <c r="B297" s="1" t="n">
        <v>45050</v>
      </c>
      <c r="C297" s="1" t="n">
        <v>45471</v>
      </c>
      <c r="D297" t="inlineStr">
        <is>
          <t>ÖREBRO LÄN</t>
        </is>
      </c>
      <c r="E297" t="inlineStr">
        <is>
          <t>NORA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20339-2023</t>
        </is>
      </c>
      <c r="B298" s="1" t="n">
        <v>45056</v>
      </c>
      <c r="C298" s="1" t="n">
        <v>45471</v>
      </c>
      <c r="D298" t="inlineStr">
        <is>
          <t>ÖREBRO LÄN</t>
        </is>
      </c>
      <c r="E298" t="inlineStr">
        <is>
          <t>NORA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21202-2023</t>
        </is>
      </c>
      <c r="B299" s="1" t="n">
        <v>45062</v>
      </c>
      <c r="C299" s="1" t="n">
        <v>45471</v>
      </c>
      <c r="D299" t="inlineStr">
        <is>
          <t>ÖREBRO LÄN</t>
        </is>
      </c>
      <c r="E299" t="inlineStr">
        <is>
          <t>NORA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21199-2023</t>
        </is>
      </c>
      <c r="B300" s="1" t="n">
        <v>45062</v>
      </c>
      <c r="C300" s="1" t="n">
        <v>45471</v>
      </c>
      <c r="D300" t="inlineStr">
        <is>
          <t>ÖREBRO LÄN</t>
        </is>
      </c>
      <c r="E300" t="inlineStr">
        <is>
          <t>NORA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21204-2023</t>
        </is>
      </c>
      <c r="B301" s="1" t="n">
        <v>45062</v>
      </c>
      <c r="C301" s="1" t="n">
        <v>45471</v>
      </c>
      <c r="D301" t="inlineStr">
        <is>
          <t>ÖREBRO LÄN</t>
        </is>
      </c>
      <c r="E301" t="inlineStr">
        <is>
          <t>NORA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23884-2023</t>
        </is>
      </c>
      <c r="B302" s="1" t="n">
        <v>45065</v>
      </c>
      <c r="C302" s="1" t="n">
        <v>45471</v>
      </c>
      <c r="D302" t="inlineStr">
        <is>
          <t>ÖREBRO LÄN</t>
        </is>
      </c>
      <c r="E302" t="inlineStr">
        <is>
          <t>NORA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22145-2023</t>
        </is>
      </c>
      <c r="B303" s="1" t="n">
        <v>45065</v>
      </c>
      <c r="C303" s="1" t="n">
        <v>45471</v>
      </c>
      <c r="D303" t="inlineStr">
        <is>
          <t>ÖREBRO LÄN</t>
        </is>
      </c>
      <c r="E303" t="inlineStr">
        <is>
          <t>NORA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22389-2023</t>
        </is>
      </c>
      <c r="B304" s="1" t="n">
        <v>45070</v>
      </c>
      <c r="C304" s="1" t="n">
        <v>45471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22271-2023</t>
        </is>
      </c>
      <c r="B305" s="1" t="n">
        <v>45070</v>
      </c>
      <c r="C305" s="1" t="n">
        <v>45471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22392-2023</t>
        </is>
      </c>
      <c r="B306" s="1" t="n">
        <v>45070</v>
      </c>
      <c r="C306" s="1" t="n">
        <v>45471</v>
      </c>
      <c r="D306" t="inlineStr">
        <is>
          <t>ÖREBRO LÄN</t>
        </is>
      </c>
      <c r="E306" t="inlineStr">
        <is>
          <t>NORA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22395-2023</t>
        </is>
      </c>
      <c r="B307" s="1" t="n">
        <v>45070</v>
      </c>
      <c r="C307" s="1" t="n">
        <v>45471</v>
      </c>
      <c r="D307" t="inlineStr">
        <is>
          <t>ÖREBRO LÄN</t>
        </is>
      </c>
      <c r="E307" t="inlineStr">
        <is>
          <t>NORA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22436-2023</t>
        </is>
      </c>
      <c r="B308" s="1" t="n">
        <v>45070</v>
      </c>
      <c r="C308" s="1" t="n">
        <v>45471</v>
      </c>
      <c r="D308" t="inlineStr">
        <is>
          <t>ÖREBRO LÄN</t>
        </is>
      </c>
      <c r="E308" t="inlineStr">
        <is>
          <t>NORA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23220-2023</t>
        </is>
      </c>
      <c r="B309" s="1" t="n">
        <v>45075</v>
      </c>
      <c r="C309" s="1" t="n">
        <v>45471</v>
      </c>
      <c r="D309" t="inlineStr">
        <is>
          <t>ÖREBRO LÄN</t>
        </is>
      </c>
      <c r="E309" t="inlineStr">
        <is>
          <t>NORA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23508-2023</t>
        </is>
      </c>
      <c r="B310" s="1" t="n">
        <v>45076</v>
      </c>
      <c r="C310" s="1" t="n">
        <v>45471</v>
      </c>
      <c r="D310" t="inlineStr">
        <is>
          <t>ÖREBRO LÄN</t>
        </is>
      </c>
      <c r="E310" t="inlineStr">
        <is>
          <t>NORA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24267-2023</t>
        </is>
      </c>
      <c r="B311" s="1" t="n">
        <v>45079</v>
      </c>
      <c r="C311" s="1" t="n">
        <v>45471</v>
      </c>
      <c r="D311" t="inlineStr">
        <is>
          <t>ÖREBRO LÄN</t>
        </is>
      </c>
      <c r="E311" t="inlineStr">
        <is>
          <t>NORA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24268-2023</t>
        </is>
      </c>
      <c r="B312" s="1" t="n">
        <v>45079</v>
      </c>
      <c r="C312" s="1" t="n">
        <v>45471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24353-2023</t>
        </is>
      </c>
      <c r="B313" s="1" t="n">
        <v>45082</v>
      </c>
      <c r="C313" s="1" t="n">
        <v>45471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24354-2023</t>
        </is>
      </c>
      <c r="B314" s="1" t="n">
        <v>45082</v>
      </c>
      <c r="C314" s="1" t="n">
        <v>45471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24479-2023</t>
        </is>
      </c>
      <c r="B315" s="1" t="n">
        <v>45082</v>
      </c>
      <c r="C315" s="1" t="n">
        <v>45471</v>
      </c>
      <c r="D315" t="inlineStr">
        <is>
          <t>ÖREBRO LÄN</t>
        </is>
      </c>
      <c r="E315" t="inlineStr">
        <is>
          <t>NORA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25366-2023</t>
        </is>
      </c>
      <c r="B316" s="1" t="n">
        <v>45088</v>
      </c>
      <c r="C316" s="1" t="n">
        <v>45471</v>
      </c>
      <c r="D316" t="inlineStr">
        <is>
          <t>ÖREBRO LÄN</t>
        </is>
      </c>
      <c r="E316" t="inlineStr">
        <is>
          <t>NORA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25723-2023</t>
        </is>
      </c>
      <c r="B317" s="1" t="n">
        <v>45090</v>
      </c>
      <c r="C317" s="1" t="n">
        <v>45471</v>
      </c>
      <c r="D317" t="inlineStr">
        <is>
          <t>ÖREBRO LÄN</t>
        </is>
      </c>
      <c r="E317" t="inlineStr">
        <is>
          <t>NORA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25725-2023</t>
        </is>
      </c>
      <c r="B318" s="1" t="n">
        <v>45090</v>
      </c>
      <c r="C318" s="1" t="n">
        <v>45471</v>
      </c>
      <c r="D318" t="inlineStr">
        <is>
          <t>ÖREBRO LÄN</t>
        </is>
      </c>
      <c r="E318" t="inlineStr">
        <is>
          <t>NORA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25824-2023</t>
        </is>
      </c>
      <c r="B319" s="1" t="n">
        <v>45090</v>
      </c>
      <c r="C319" s="1" t="n">
        <v>45471</v>
      </c>
      <c r="D319" t="inlineStr">
        <is>
          <t>ÖREBRO LÄN</t>
        </is>
      </c>
      <c r="E319" t="inlineStr">
        <is>
          <t>NORA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26022-2023</t>
        </is>
      </c>
      <c r="B320" s="1" t="n">
        <v>45091</v>
      </c>
      <c r="C320" s="1" t="n">
        <v>45471</v>
      </c>
      <c r="D320" t="inlineStr">
        <is>
          <t>ÖREBRO LÄN</t>
        </is>
      </c>
      <c r="E320" t="inlineStr">
        <is>
          <t>NORA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26021-2023</t>
        </is>
      </c>
      <c r="B321" s="1" t="n">
        <v>45091</v>
      </c>
      <c r="C321" s="1" t="n">
        <v>45471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26023-2023</t>
        </is>
      </c>
      <c r="B322" s="1" t="n">
        <v>45091</v>
      </c>
      <c r="C322" s="1" t="n">
        <v>45471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26110-2023</t>
        </is>
      </c>
      <c r="B323" s="1" t="n">
        <v>45091</v>
      </c>
      <c r="C323" s="1" t="n">
        <v>45471</v>
      </c>
      <c r="D323" t="inlineStr">
        <is>
          <t>ÖREBRO LÄN</t>
        </is>
      </c>
      <c r="E323" t="inlineStr">
        <is>
          <t>NORA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26545-2023</t>
        </is>
      </c>
      <c r="B324" s="1" t="n">
        <v>45092</v>
      </c>
      <c r="C324" s="1" t="n">
        <v>45471</v>
      </c>
      <c r="D324" t="inlineStr">
        <is>
          <t>ÖREBRO LÄN</t>
        </is>
      </c>
      <c r="E324" t="inlineStr">
        <is>
          <t>NORA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27767-2023</t>
        </is>
      </c>
      <c r="B325" s="1" t="n">
        <v>45098</v>
      </c>
      <c r="C325" s="1" t="n">
        <v>45471</v>
      </c>
      <c r="D325" t="inlineStr">
        <is>
          <t>ÖREBRO LÄN</t>
        </is>
      </c>
      <c r="E325" t="inlineStr">
        <is>
          <t>NORA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29018-2023</t>
        </is>
      </c>
      <c r="B326" s="1" t="n">
        <v>45104</v>
      </c>
      <c r="C326" s="1" t="n">
        <v>45471</v>
      </c>
      <c r="D326" t="inlineStr">
        <is>
          <t>ÖREBRO LÄN</t>
        </is>
      </c>
      <c r="E326" t="inlineStr">
        <is>
          <t>NORA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29112-2023</t>
        </is>
      </c>
      <c r="B327" s="1" t="n">
        <v>45105</v>
      </c>
      <c r="C327" s="1" t="n">
        <v>45471</v>
      </c>
      <c r="D327" t="inlineStr">
        <is>
          <t>ÖREBRO LÄN</t>
        </is>
      </c>
      <c r="E327" t="inlineStr">
        <is>
          <t>NORA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31175-2023</t>
        </is>
      </c>
      <c r="B328" s="1" t="n">
        <v>45113</v>
      </c>
      <c r="C328" s="1" t="n">
        <v>45471</v>
      </c>
      <c r="D328" t="inlineStr">
        <is>
          <t>ÖREBRO LÄN</t>
        </is>
      </c>
      <c r="E328" t="inlineStr">
        <is>
          <t>NORA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31587-2023</t>
        </is>
      </c>
      <c r="B329" s="1" t="n">
        <v>45117</v>
      </c>
      <c r="C329" s="1" t="n">
        <v>45471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34238-2023</t>
        </is>
      </c>
      <c r="B330" s="1" t="n">
        <v>45138</v>
      </c>
      <c r="C330" s="1" t="n">
        <v>45471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35144-2023</t>
        </is>
      </c>
      <c r="B331" s="1" t="n">
        <v>45145</v>
      </c>
      <c r="C331" s="1" t="n">
        <v>45471</v>
      </c>
      <c r="D331" t="inlineStr">
        <is>
          <t>ÖREBRO LÄN</t>
        </is>
      </c>
      <c r="E331" t="inlineStr">
        <is>
          <t>NORA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35659-2023</t>
        </is>
      </c>
      <c r="B332" s="1" t="n">
        <v>45147</v>
      </c>
      <c r="C332" s="1" t="n">
        <v>45471</v>
      </c>
      <c r="D332" t="inlineStr">
        <is>
          <t>ÖREBRO LÄN</t>
        </is>
      </c>
      <c r="E332" t="inlineStr">
        <is>
          <t>NORA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35675-2023</t>
        </is>
      </c>
      <c r="B333" s="1" t="n">
        <v>45147</v>
      </c>
      <c r="C333" s="1" t="n">
        <v>45471</v>
      </c>
      <c r="D333" t="inlineStr">
        <is>
          <t>ÖREBRO LÄN</t>
        </is>
      </c>
      <c r="E333" t="inlineStr">
        <is>
          <t>NORA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36064-2023</t>
        </is>
      </c>
      <c r="B334" s="1" t="n">
        <v>45149</v>
      </c>
      <c r="C334" s="1" t="n">
        <v>45471</v>
      </c>
      <c r="D334" t="inlineStr">
        <is>
          <t>ÖREBRO LÄN</t>
        </is>
      </c>
      <c r="E334" t="inlineStr">
        <is>
          <t>NORA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37101-2023</t>
        </is>
      </c>
      <c r="B335" s="1" t="n">
        <v>45155</v>
      </c>
      <c r="C335" s="1" t="n">
        <v>45471</v>
      </c>
      <c r="D335" t="inlineStr">
        <is>
          <t>ÖREBRO LÄN</t>
        </is>
      </c>
      <c r="E335" t="inlineStr">
        <is>
          <t>NORA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37849-2023</t>
        </is>
      </c>
      <c r="B336" s="1" t="n">
        <v>45158</v>
      </c>
      <c r="C336" s="1" t="n">
        <v>45471</v>
      </c>
      <c r="D336" t="inlineStr">
        <is>
          <t>ÖREBRO LÄN</t>
        </is>
      </c>
      <c r="E336" t="inlineStr">
        <is>
          <t>NORA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38179-2023</t>
        </is>
      </c>
      <c r="B337" s="1" t="n">
        <v>45161</v>
      </c>
      <c r="C337" s="1" t="n">
        <v>45471</v>
      </c>
      <c r="D337" t="inlineStr">
        <is>
          <t>ÖREBRO LÄN</t>
        </is>
      </c>
      <c r="E337" t="inlineStr">
        <is>
          <t>NORA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38177-2023</t>
        </is>
      </c>
      <c r="B338" s="1" t="n">
        <v>45161</v>
      </c>
      <c r="C338" s="1" t="n">
        <v>45471</v>
      </c>
      <c r="D338" t="inlineStr">
        <is>
          <t>ÖREBRO LÄN</t>
        </is>
      </c>
      <c r="E338" t="inlineStr">
        <is>
          <t>NORA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38793-2023</t>
        </is>
      </c>
      <c r="B339" s="1" t="n">
        <v>45163</v>
      </c>
      <c r="C339" s="1" t="n">
        <v>45471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39257-2023</t>
        </is>
      </c>
      <c r="B340" s="1" t="n">
        <v>45166</v>
      </c>
      <c r="C340" s="1" t="n">
        <v>45471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40681-2023</t>
        </is>
      </c>
      <c r="B341" s="1" t="n">
        <v>45170</v>
      </c>
      <c r="C341" s="1" t="n">
        <v>45471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40682-2023</t>
        </is>
      </c>
      <c r="B342" s="1" t="n">
        <v>45170</v>
      </c>
      <c r="C342" s="1" t="n">
        <v>45471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40680-2023</t>
        </is>
      </c>
      <c r="B343" s="1" t="n">
        <v>45170</v>
      </c>
      <c r="C343" s="1" t="n">
        <v>45471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40679-2023</t>
        </is>
      </c>
      <c r="B344" s="1" t="n">
        <v>45170</v>
      </c>
      <c r="C344" s="1" t="n">
        <v>45471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41696-2023</t>
        </is>
      </c>
      <c r="B345" s="1" t="n">
        <v>45176</v>
      </c>
      <c r="C345" s="1" t="n">
        <v>45471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42049-2023</t>
        </is>
      </c>
      <c r="B346" s="1" t="n">
        <v>45177</v>
      </c>
      <c r="C346" s="1" t="n">
        <v>45471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43919-2023</t>
        </is>
      </c>
      <c r="B347" s="1" t="n">
        <v>45182</v>
      </c>
      <c r="C347" s="1" t="n">
        <v>45471</v>
      </c>
      <c r="D347" t="inlineStr">
        <is>
          <t>ÖREBRO LÄN</t>
        </is>
      </c>
      <c r="E347" t="inlineStr">
        <is>
          <t>NORA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43535-2023</t>
        </is>
      </c>
      <c r="B348" s="1" t="n">
        <v>45184</v>
      </c>
      <c r="C348" s="1" t="n">
        <v>45471</v>
      </c>
      <c r="D348" t="inlineStr">
        <is>
          <t>ÖREBRO LÄN</t>
        </is>
      </c>
      <c r="E348" t="inlineStr">
        <is>
          <t>NORA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43843-2023</t>
        </is>
      </c>
      <c r="B349" s="1" t="n">
        <v>45187</v>
      </c>
      <c r="C349" s="1" t="n">
        <v>45471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45159-2023</t>
        </is>
      </c>
      <c r="B350" s="1" t="n">
        <v>45191</v>
      </c>
      <c r="C350" s="1" t="n">
        <v>45471</v>
      </c>
      <c r="D350" t="inlineStr">
        <is>
          <t>ÖREBRO LÄN</t>
        </is>
      </c>
      <c r="E350" t="inlineStr">
        <is>
          <t>NORA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45229-2023</t>
        </is>
      </c>
      <c r="B351" s="1" t="n">
        <v>45191</v>
      </c>
      <c r="C351" s="1" t="n">
        <v>45471</v>
      </c>
      <c r="D351" t="inlineStr">
        <is>
          <t>ÖREBRO LÄN</t>
        </is>
      </c>
      <c r="E351" t="inlineStr">
        <is>
          <t>NORA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45203-2023</t>
        </is>
      </c>
      <c r="B352" s="1" t="n">
        <v>45191</v>
      </c>
      <c r="C352" s="1" t="n">
        <v>45471</v>
      </c>
      <c r="D352" t="inlineStr">
        <is>
          <t>ÖREBRO LÄN</t>
        </is>
      </c>
      <c r="E352" t="inlineStr">
        <is>
          <t>NORA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45216-2023</t>
        </is>
      </c>
      <c r="B353" s="1" t="n">
        <v>45191</v>
      </c>
      <c r="C353" s="1" t="n">
        <v>45471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45234-2023</t>
        </is>
      </c>
      <c r="B354" s="1" t="n">
        <v>45191</v>
      </c>
      <c r="C354" s="1" t="n">
        <v>45471</v>
      </c>
      <c r="D354" t="inlineStr">
        <is>
          <t>ÖREBRO LÄN</t>
        </is>
      </c>
      <c r="E354" t="inlineStr">
        <is>
          <t>NORA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46198-2023</t>
        </is>
      </c>
      <c r="B355" s="1" t="n">
        <v>45196</v>
      </c>
      <c r="C355" s="1" t="n">
        <v>45471</v>
      </c>
      <c r="D355" t="inlineStr">
        <is>
          <t>ÖREBRO LÄN</t>
        </is>
      </c>
      <c r="E355" t="inlineStr">
        <is>
          <t>NORA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46433-2023</t>
        </is>
      </c>
      <c r="B356" s="1" t="n">
        <v>45197</v>
      </c>
      <c r="C356" s="1" t="n">
        <v>45471</v>
      </c>
      <c r="D356" t="inlineStr">
        <is>
          <t>ÖREBRO LÄN</t>
        </is>
      </c>
      <c r="E356" t="inlineStr">
        <is>
          <t>NORA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46444-2023</t>
        </is>
      </c>
      <c r="B357" s="1" t="n">
        <v>45197</v>
      </c>
      <c r="C357" s="1" t="n">
        <v>45471</v>
      </c>
      <c r="D357" t="inlineStr">
        <is>
          <t>ÖREBRO LÄN</t>
        </is>
      </c>
      <c r="E357" t="inlineStr">
        <is>
          <t>NORA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46688-2023</t>
        </is>
      </c>
      <c r="B358" s="1" t="n">
        <v>45198</v>
      </c>
      <c r="C358" s="1" t="n">
        <v>45471</v>
      </c>
      <c r="D358" t="inlineStr">
        <is>
          <t>ÖREBRO LÄN</t>
        </is>
      </c>
      <c r="E358" t="inlineStr">
        <is>
          <t>NORA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46735-2023</t>
        </is>
      </c>
      <c r="B359" s="1" t="n">
        <v>45198</v>
      </c>
      <c r="C359" s="1" t="n">
        <v>45471</v>
      </c>
      <c r="D359" t="inlineStr">
        <is>
          <t>ÖREBRO LÄN</t>
        </is>
      </c>
      <c r="E359" t="inlineStr">
        <is>
          <t>NORA</t>
        </is>
      </c>
      <c r="F359" t="inlineStr">
        <is>
          <t>Övriga Aktiebolag</t>
        </is>
      </c>
      <c r="G359" t="n">
        <v>17.2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48610-2023</t>
        </is>
      </c>
      <c r="B360" s="1" t="n">
        <v>45208</v>
      </c>
      <c r="C360" s="1" t="n">
        <v>45471</v>
      </c>
      <c r="D360" t="inlineStr">
        <is>
          <t>ÖREBRO LÄN</t>
        </is>
      </c>
      <c r="E360" t="inlineStr">
        <is>
          <t>NORA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49910-2023</t>
        </is>
      </c>
      <c r="B361" s="1" t="n">
        <v>45214</v>
      </c>
      <c r="C361" s="1" t="n">
        <v>45471</v>
      </c>
      <c r="D361" t="inlineStr">
        <is>
          <t>ÖREBRO LÄN</t>
        </is>
      </c>
      <c r="E361" t="inlineStr">
        <is>
          <t>NORA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49959-2023</t>
        </is>
      </c>
      <c r="B362" s="1" t="n">
        <v>45215</v>
      </c>
      <c r="C362" s="1" t="n">
        <v>45471</v>
      </c>
      <c r="D362" t="inlineStr">
        <is>
          <t>ÖREBRO LÄN</t>
        </is>
      </c>
      <c r="E362" t="inlineStr">
        <is>
          <t>NORA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51206-2023</t>
        </is>
      </c>
      <c r="B363" s="1" t="n">
        <v>45219</v>
      </c>
      <c r="C363" s="1" t="n">
        <v>45471</v>
      </c>
      <c r="D363" t="inlineStr">
        <is>
          <t>ÖREBRO LÄN</t>
        </is>
      </c>
      <c r="E363" t="inlineStr">
        <is>
          <t>NORA</t>
        </is>
      </c>
      <c r="F363" t="inlineStr">
        <is>
          <t>Bergvik skog väst AB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51340-2023</t>
        </is>
      </c>
      <c r="B364" s="1" t="n">
        <v>45219</v>
      </c>
      <c r="C364" s="1" t="n">
        <v>45471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52115-2023</t>
        </is>
      </c>
      <c r="B365" s="1" t="n">
        <v>45224</v>
      </c>
      <c r="C365" s="1" t="n">
        <v>45471</v>
      </c>
      <c r="D365" t="inlineStr">
        <is>
          <t>ÖREBRO LÄN</t>
        </is>
      </c>
      <c r="E365" t="inlineStr">
        <is>
          <t>NORA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52112-2023</t>
        </is>
      </c>
      <c r="B366" s="1" t="n">
        <v>45223</v>
      </c>
      <c r="C366" s="1" t="n">
        <v>45471</v>
      </c>
      <c r="D366" t="inlineStr">
        <is>
          <t>ÖREBRO LÄN</t>
        </is>
      </c>
      <c r="E366" t="inlineStr">
        <is>
          <t>NORA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45471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45471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45471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45471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45471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45471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45471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45471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45471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45471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45471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45471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45471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45471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45471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45471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45471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45471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45471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45471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45471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45471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45471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45471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45471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45471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45471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45471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45471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45471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45471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45471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45471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45471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45471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45471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45471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45471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45471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45471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45471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45471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45471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45471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45471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45471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45471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45471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45471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45471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45471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45471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45471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45471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45471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45471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45471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45471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45471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45471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45471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45471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45471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45471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45471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45471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45471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45471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45471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45471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45471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45471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45471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45471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45471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45471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45471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45471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45471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45471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45471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45471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45471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45471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45471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45471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45471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45471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45471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45471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45471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45471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45471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23277-2024</t>
        </is>
      </c>
      <c r="B460" s="1" t="n">
        <v>45453</v>
      </c>
      <c r="C460" s="1" t="n">
        <v>45471</v>
      </c>
      <c r="D460" t="inlineStr">
        <is>
          <t>ÖREBRO LÄN</t>
        </is>
      </c>
      <c r="E460" t="inlineStr">
        <is>
          <t>NORA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23506-2024</t>
        </is>
      </c>
      <c r="B461" s="1" t="n">
        <v>45453</v>
      </c>
      <c r="C461" s="1" t="n">
        <v>45471</v>
      </c>
      <c r="D461" t="inlineStr">
        <is>
          <t>ÖREBRO LÄN</t>
        </is>
      </c>
      <c r="E461" t="inlineStr">
        <is>
          <t>NORA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45471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24391-2024</t>
        </is>
      </c>
      <c r="B463" s="1" t="n">
        <v>45457</v>
      </c>
      <c r="C463" s="1" t="n">
        <v>45471</v>
      </c>
      <c r="D463" t="inlineStr">
        <is>
          <t>ÖREBRO LÄN</t>
        </is>
      </c>
      <c r="E463" t="inlineStr">
        <is>
          <t>NORA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24392-2024</t>
        </is>
      </c>
      <c r="B464" s="1" t="n">
        <v>45457</v>
      </c>
      <c r="C464" s="1" t="n">
        <v>45471</v>
      </c>
      <c r="D464" t="inlineStr">
        <is>
          <t>ÖREBRO LÄN</t>
        </is>
      </c>
      <c r="E464" t="inlineStr">
        <is>
          <t>NORA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24821-2024</t>
        </is>
      </c>
      <c r="B465" s="1" t="n">
        <v>45461</v>
      </c>
      <c r="C465" s="1" t="n">
        <v>45471</v>
      </c>
      <c r="D465" t="inlineStr">
        <is>
          <t>ÖREBRO LÄN</t>
        </is>
      </c>
      <c r="E465" t="inlineStr">
        <is>
          <t>NORA</t>
        </is>
      </c>
      <c r="G465" t="n">
        <v>12.2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24820-2024</t>
        </is>
      </c>
      <c r="B466" s="1" t="n">
        <v>45461</v>
      </c>
      <c r="C466" s="1" t="n">
        <v>45471</v>
      </c>
      <c r="D466" t="inlineStr">
        <is>
          <t>ÖREBRO LÄN</t>
        </is>
      </c>
      <c r="E466" t="inlineStr">
        <is>
          <t>NORA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24828-2024</t>
        </is>
      </c>
      <c r="B467" s="1" t="n">
        <v>45461</v>
      </c>
      <c r="C467" s="1" t="n">
        <v>45471</v>
      </c>
      <c r="D467" t="inlineStr">
        <is>
          <t>ÖREBRO LÄN</t>
        </is>
      </c>
      <c r="E467" t="inlineStr">
        <is>
          <t>NORA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24833-2024</t>
        </is>
      </c>
      <c r="B468" s="1" t="n">
        <v>45461</v>
      </c>
      <c r="C468" s="1" t="n">
        <v>45471</v>
      </c>
      <c r="D468" t="inlineStr">
        <is>
          <t>ÖREBRO LÄN</t>
        </is>
      </c>
      <c r="E468" t="inlineStr">
        <is>
          <t>NORA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45471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45471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24832-2024</t>
        </is>
      </c>
      <c r="B471" s="1" t="n">
        <v>45461</v>
      </c>
      <c r="C471" s="1" t="n">
        <v>45471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2024-06-28T10:04:31Z</dcterms:created>
  <dcterms:modified xmlns:dcterms="http://purl.org/dc/terms/" xmlns:xsi="http://www.w3.org/2001/XMLSchema-instance" xsi:type="dcterms:W3CDTF">2024-06-28T10:04:31Z</dcterms:modified>
</cp:coreProperties>
</file>