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46183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46183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46183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46183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46183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46183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46183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46183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46183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46183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46183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46183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46183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46183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46183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46183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46183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46183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46183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46183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46183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46183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46183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46183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46183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46183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46183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16289-2026</t>
        </is>
      </c>
      <c r="B33" s="1" t="n">
        <v>46111.5253125</v>
      </c>
      <c r="C33" s="1" t="n">
        <v>46183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16289-2026 artfynd.xlsx", "A 16289-2026")</f>
        <v/>
      </c>
      <c r="T33">
        <f>HYPERLINK("https://klasma.github.io/Logging_1884/kartor/A 16289-2026 karta.png", "A 16289-2026")</f>
        <v/>
      </c>
      <c r="V33">
        <f>HYPERLINK("https://klasma.github.io/Logging_1884/klagomål/A 16289-2026 FSC-klagomål.docx", "A 16289-2026")</f>
        <v/>
      </c>
      <c r="W33">
        <f>HYPERLINK("https://klasma.github.io/Logging_1884/klagomålsmail/A 16289-2026 FSC-klagomål mail.docx", "A 16289-2026")</f>
        <v/>
      </c>
      <c r="X33">
        <f>HYPERLINK("https://klasma.github.io/Logging_1884/tillsyn/A 16289-2026 tillsynsbegäran.docx", "A 16289-2026")</f>
        <v/>
      </c>
      <c r="Y33">
        <f>HYPERLINK("https://klasma.github.io/Logging_1884/tillsynsmail/A 16289-2026 tillsynsbegäran mail.docx", "A 16289-2026")</f>
        <v/>
      </c>
      <c r="Z33">
        <f>HYPERLINK("https://klasma.github.io/Logging_1884/fåglar/A 16289-2026 prioriterade fågelarter.docx", "A 16289-2026")</f>
        <v/>
      </c>
    </row>
    <row r="34" ht="15" customHeight="1">
      <c r="A34" t="inlineStr">
        <is>
          <t>A 16288-2026</t>
        </is>
      </c>
      <c r="B34" s="1" t="n">
        <v>46111.51297453704</v>
      </c>
      <c r="C34" s="1" t="n">
        <v>46183</v>
      </c>
      <c r="D34" t="inlineStr">
        <is>
          <t>ÖREBRO LÄN</t>
        </is>
      </c>
      <c r="E34" t="inlineStr">
        <is>
          <t>NORA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16288-2026 artfynd.xlsx", "A 16288-2026")</f>
        <v/>
      </c>
      <c r="T34">
        <f>HYPERLINK("https://klasma.github.io/Logging_1884/kartor/A 16288-2026 karta.png", "A 16288-2026")</f>
        <v/>
      </c>
      <c r="V34">
        <f>HYPERLINK("https://klasma.github.io/Logging_1884/klagomål/A 16288-2026 FSC-klagomål.docx", "A 16288-2026")</f>
        <v/>
      </c>
      <c r="W34">
        <f>HYPERLINK("https://klasma.github.io/Logging_1884/klagomålsmail/A 16288-2026 FSC-klagomål mail.docx", "A 16288-2026")</f>
        <v/>
      </c>
      <c r="X34">
        <f>HYPERLINK("https://klasma.github.io/Logging_1884/tillsyn/A 16288-2026 tillsynsbegäran.docx", "A 16288-2026")</f>
        <v/>
      </c>
      <c r="Y34">
        <f>HYPERLINK("https://klasma.github.io/Logging_1884/tillsynsmail/A 16288-2026 tillsynsbegäran mail.docx", "A 16288-2026")</f>
        <v/>
      </c>
      <c r="Z34">
        <f>HYPERLINK("https://klasma.github.io/Logging_1884/fåglar/A 16288-2026 prioriterade fågelarter.docx", "A 16288-2026")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46183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46183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46183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46183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46183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46183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46183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46183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46183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37265-2022</t>
        </is>
      </c>
      <c r="B49" s="1" t="n">
        <v>44807.46988425926</v>
      </c>
      <c r="C49" s="1" t="n">
        <v>46183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46183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46183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46183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35730-2022</t>
        </is>
      </c>
      <c r="B53" s="1" t="n">
        <v>44799</v>
      </c>
      <c r="C53" s="1" t="n">
        <v>46183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35731-2022</t>
        </is>
      </c>
      <c r="B54" s="1" t="n">
        <v>44799.73486111111</v>
      </c>
      <c r="C54" s="1" t="n">
        <v>46183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68887-2021</t>
        </is>
      </c>
      <c r="B55" s="1" t="n">
        <v>44530</v>
      </c>
      <c r="C55" s="1" t="n">
        <v>46183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37266-2022</t>
        </is>
      </c>
      <c r="B56" s="1" t="n">
        <v>44807.47078703704</v>
      </c>
      <c r="C56" s="1" t="n">
        <v>46183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46183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43941-2022</t>
        </is>
      </c>
      <c r="B58" s="1" t="n">
        <v>44838.57731481481</v>
      </c>
      <c r="C58" s="1" t="n">
        <v>46183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59590-2021</t>
        </is>
      </c>
      <c r="B59" s="1" t="n">
        <v>44491</v>
      </c>
      <c r="C59" s="1" t="n">
        <v>46183</v>
      </c>
      <c r="D59" t="inlineStr">
        <is>
          <t>ÖREBRO LÄN</t>
        </is>
      </c>
      <c r="E59" t="inlineStr">
        <is>
          <t>NORA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35605-2021</t>
        </is>
      </c>
      <c r="B60" s="1" t="n">
        <v>44386.37886574074</v>
      </c>
      <c r="C60" s="1" t="n">
        <v>46183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48105-2021</t>
        </is>
      </c>
      <c r="B61" s="1" t="n">
        <v>44449</v>
      </c>
      <c r="C61" s="1" t="n">
        <v>46183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47788-2021</t>
        </is>
      </c>
      <c r="B62" s="1" t="n">
        <v>44448</v>
      </c>
      <c r="C62" s="1" t="n">
        <v>46183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46183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46183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68610-2021</t>
        </is>
      </c>
      <c r="B65" s="1" t="n">
        <v>44529.56203703704</v>
      </c>
      <c r="C65" s="1" t="n">
        <v>46183</v>
      </c>
      <c r="D65" t="inlineStr">
        <is>
          <t>ÖREBRO LÄN</t>
        </is>
      </c>
      <c r="E65" t="inlineStr">
        <is>
          <t>NORA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5039-2022</t>
        </is>
      </c>
      <c r="B66" s="1" t="n">
        <v>44593</v>
      </c>
      <c r="C66" s="1" t="n">
        <v>46183</v>
      </c>
      <c r="D66" t="inlineStr">
        <is>
          <t>ÖREBRO LÄN</t>
        </is>
      </c>
      <c r="E66" t="inlineStr">
        <is>
          <t>NORA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49135-2021</t>
        </is>
      </c>
      <c r="B67" s="1" t="n">
        <v>44453</v>
      </c>
      <c r="C67" s="1" t="n">
        <v>46183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21695-2022</t>
        </is>
      </c>
      <c r="B68" s="1" t="n">
        <v>44707.88415509259</v>
      </c>
      <c r="C68" s="1" t="n">
        <v>46183</v>
      </c>
      <c r="D68" t="inlineStr">
        <is>
          <t>ÖREBRO LÄN</t>
        </is>
      </c>
      <c r="E68" t="inlineStr">
        <is>
          <t>NORA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26314-2022</t>
        </is>
      </c>
      <c r="B69" s="1" t="n">
        <v>44735.59861111111</v>
      </c>
      <c r="C69" s="1" t="n">
        <v>46183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46198-2023</t>
        </is>
      </c>
      <c r="B70" s="1" t="n">
        <v>45196</v>
      </c>
      <c r="C70" s="1" t="n">
        <v>46183</v>
      </c>
      <c r="D70" t="inlineStr">
        <is>
          <t>ÖREBRO LÄN</t>
        </is>
      </c>
      <c r="E70" t="inlineStr">
        <is>
          <t>NORA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35330-2021</t>
        </is>
      </c>
      <c r="B71" s="1" t="n">
        <v>44384.81996527778</v>
      </c>
      <c r="C71" s="1" t="n">
        <v>46183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13585-2024</t>
        </is>
      </c>
      <c r="B72" s="1" t="n">
        <v>45389.85309027778</v>
      </c>
      <c r="C72" s="1" t="n">
        <v>46183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38177-2023</t>
        </is>
      </c>
      <c r="B73" s="1" t="n">
        <v>45161.44978009259</v>
      </c>
      <c r="C73" s="1" t="n">
        <v>46183</v>
      </c>
      <c r="D73" t="inlineStr">
        <is>
          <t>ÖREBRO LÄN</t>
        </is>
      </c>
      <c r="E73" t="inlineStr">
        <is>
          <t>NORA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49634-2022</t>
        </is>
      </c>
      <c r="B74" s="1" t="n">
        <v>44862.43146990741</v>
      </c>
      <c r="C74" s="1" t="n">
        <v>46183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49635-2022</t>
        </is>
      </c>
      <c r="B75" s="1" t="n">
        <v>44862.43199074074</v>
      </c>
      <c r="C75" s="1" t="n">
        <v>46183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16109-2024</t>
        </is>
      </c>
      <c r="B76" s="1" t="n">
        <v>45406.46753472222</v>
      </c>
      <c r="C76" s="1" t="n">
        <v>46183</v>
      </c>
      <c r="D76" t="inlineStr">
        <is>
          <t>ÖREBRO LÄN</t>
        </is>
      </c>
      <c r="E76" t="inlineStr">
        <is>
          <t>NORA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42743-2021</t>
        </is>
      </c>
      <c r="B77" s="1" t="n">
        <v>44428.61717592592</v>
      </c>
      <c r="C77" s="1" t="n">
        <v>46183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26021-2023</t>
        </is>
      </c>
      <c r="B78" s="1" t="n">
        <v>45091.29033564815</v>
      </c>
      <c r="C78" s="1" t="n">
        <v>46183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34026-2022</t>
        </is>
      </c>
      <c r="B79" s="1" t="n">
        <v>44791.32811342592</v>
      </c>
      <c r="C79" s="1" t="n">
        <v>46183</v>
      </c>
      <c r="D79" t="inlineStr">
        <is>
          <t>ÖREBRO LÄN</t>
        </is>
      </c>
      <c r="E79" t="inlineStr">
        <is>
          <t>NORA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44850-2022</t>
        </is>
      </c>
      <c r="B80" s="1" t="n">
        <v>44841</v>
      </c>
      <c r="C80" s="1" t="n">
        <v>46183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10882-2024</t>
        </is>
      </c>
      <c r="B81" s="1" t="n">
        <v>45370</v>
      </c>
      <c r="C81" s="1" t="n">
        <v>46183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15012-2023</t>
        </is>
      </c>
      <c r="B82" s="1" t="n">
        <v>45015</v>
      </c>
      <c r="C82" s="1" t="n">
        <v>46183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8295-2024</t>
        </is>
      </c>
      <c r="B83" s="1" t="n">
        <v>45352.43674768518</v>
      </c>
      <c r="C83" s="1" t="n">
        <v>46183</v>
      </c>
      <c r="D83" t="inlineStr">
        <is>
          <t>ÖREBRO LÄN</t>
        </is>
      </c>
      <c r="E83" t="inlineStr">
        <is>
          <t>NORA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39707-2022</t>
        </is>
      </c>
      <c r="B84" s="1" t="n">
        <v>44818.95277777778</v>
      </c>
      <c r="C84" s="1" t="n">
        <v>46183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53472-2022</t>
        </is>
      </c>
      <c r="B85" s="1" t="n">
        <v>44879</v>
      </c>
      <c r="C85" s="1" t="n">
        <v>46183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2413-2024</t>
        </is>
      </c>
      <c r="B86" s="1" t="n">
        <v>45310</v>
      </c>
      <c r="C86" s="1" t="n">
        <v>46183</v>
      </c>
      <c r="D86" t="inlineStr">
        <is>
          <t>ÖREBRO LÄN</t>
        </is>
      </c>
      <c r="E86" t="inlineStr">
        <is>
          <t>NORA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53365-2023</t>
        </is>
      </c>
      <c r="B87" s="1" t="n">
        <v>45229.66844907407</v>
      </c>
      <c r="C87" s="1" t="n">
        <v>46183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56871-2021</t>
        </is>
      </c>
      <c r="B88" s="1" t="n">
        <v>44481.78949074074</v>
      </c>
      <c r="C88" s="1" t="n">
        <v>46183</v>
      </c>
      <c r="D88" t="inlineStr">
        <is>
          <t>ÖREBRO LÄN</t>
        </is>
      </c>
      <c r="E88" t="inlineStr">
        <is>
          <t>NORA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46183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16281-2024</t>
        </is>
      </c>
      <c r="B90" s="1" t="n">
        <v>45407.36091435186</v>
      </c>
      <c r="C90" s="1" t="n">
        <v>46183</v>
      </c>
      <c r="D90" t="inlineStr">
        <is>
          <t>ÖREBRO LÄN</t>
        </is>
      </c>
      <c r="E90" t="inlineStr">
        <is>
          <t>NORA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24820-2024</t>
        </is>
      </c>
      <c r="B91" s="1" t="n">
        <v>45461.3465625</v>
      </c>
      <c r="C91" s="1" t="n">
        <v>46183</v>
      </c>
      <c r="D91" t="inlineStr">
        <is>
          <t>ÖREBRO LÄN</t>
        </is>
      </c>
      <c r="E91" t="inlineStr">
        <is>
          <t>NORA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57639-2023</t>
        </is>
      </c>
      <c r="B92" s="1" t="n">
        <v>45246</v>
      </c>
      <c r="C92" s="1" t="n">
        <v>46183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12699-2023</t>
        </is>
      </c>
      <c r="B93" s="1" t="n">
        <v>45000</v>
      </c>
      <c r="C93" s="1" t="n">
        <v>46183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38798-2021</t>
        </is>
      </c>
      <c r="B94" s="1" t="n">
        <v>44410</v>
      </c>
      <c r="C94" s="1" t="n">
        <v>46183</v>
      </c>
      <c r="D94" t="inlineStr">
        <is>
          <t>ÖREBRO LÄN</t>
        </is>
      </c>
      <c r="E94" t="inlineStr">
        <is>
          <t>NORA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46183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45234-2023</t>
        </is>
      </c>
      <c r="B96" s="1" t="n">
        <v>45191.59268518518</v>
      </c>
      <c r="C96" s="1" t="n">
        <v>46183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1566-2025</t>
        </is>
      </c>
      <c r="B97" s="1" t="n">
        <v>45670</v>
      </c>
      <c r="C97" s="1" t="n">
        <v>46183</v>
      </c>
      <c r="D97" t="inlineStr">
        <is>
          <t>ÖREBRO LÄN</t>
        </is>
      </c>
      <c r="E97" t="inlineStr">
        <is>
          <t>NORA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12646-2024</t>
        </is>
      </c>
      <c r="B98" s="1" t="n">
        <v>45384.34563657407</v>
      </c>
      <c r="C98" s="1" t="n">
        <v>46183</v>
      </c>
      <c r="D98" t="inlineStr">
        <is>
          <t>ÖREBRO LÄN</t>
        </is>
      </c>
      <c r="E98" t="inlineStr">
        <is>
          <t>NORA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54604-2024</t>
        </is>
      </c>
      <c r="B99" s="1" t="n">
        <v>45617.683125</v>
      </c>
      <c r="C99" s="1" t="n">
        <v>46183</v>
      </c>
      <c r="D99" t="inlineStr">
        <is>
          <t>ÖREBRO LÄN</t>
        </is>
      </c>
      <c r="E99" t="inlineStr">
        <is>
          <t>NORA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64089-2023</t>
        </is>
      </c>
      <c r="B100" s="1" t="n">
        <v>45279</v>
      </c>
      <c r="C100" s="1" t="n">
        <v>46183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17344-2024</t>
        </is>
      </c>
      <c r="B101" s="1" t="n">
        <v>45414.58052083333</v>
      </c>
      <c r="C101" s="1" t="n">
        <v>46183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46183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46183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43254-2022</t>
        </is>
      </c>
      <c r="B104" s="1" t="n">
        <v>44834</v>
      </c>
      <c r="C104" s="1" t="n">
        <v>46183</v>
      </c>
      <c r="D104" t="inlineStr">
        <is>
          <t>ÖREBRO LÄN</t>
        </is>
      </c>
      <c r="E104" t="inlineStr">
        <is>
          <t>NORA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46183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73009-2021</t>
        </is>
      </c>
      <c r="B106" s="1" t="n">
        <v>44550.33282407407</v>
      </c>
      <c r="C106" s="1" t="n">
        <v>46183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40339-2024</t>
        </is>
      </c>
      <c r="B107" s="1" t="n">
        <v>45555.33125</v>
      </c>
      <c r="C107" s="1" t="n">
        <v>46183</v>
      </c>
      <c r="D107" t="inlineStr">
        <is>
          <t>ÖREBRO LÄN</t>
        </is>
      </c>
      <c r="E107" t="inlineStr">
        <is>
          <t>NORA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41676-2021</t>
        </is>
      </c>
      <c r="B108" s="1" t="n">
        <v>44425.50175925926</v>
      </c>
      <c r="C108" s="1" t="n">
        <v>46183</v>
      </c>
      <c r="D108" t="inlineStr">
        <is>
          <t>ÖREBRO LÄN</t>
        </is>
      </c>
      <c r="E108" t="inlineStr">
        <is>
          <t>NORA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43843-2023</t>
        </is>
      </c>
      <c r="B109" s="1" t="n">
        <v>45187</v>
      </c>
      <c r="C109" s="1" t="n">
        <v>46183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52303-2024</t>
        </is>
      </c>
      <c r="B110" s="1" t="n">
        <v>45608.75231481482</v>
      </c>
      <c r="C110" s="1" t="n">
        <v>46183</v>
      </c>
      <c r="D110" t="inlineStr">
        <is>
          <t>ÖREBRO LÄN</t>
        </is>
      </c>
      <c r="E110" t="inlineStr">
        <is>
          <t>NORA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37849-2023</t>
        </is>
      </c>
      <c r="B111" s="1" t="n">
        <v>45158</v>
      </c>
      <c r="C111" s="1" t="n">
        <v>46183</v>
      </c>
      <c r="D111" t="inlineStr">
        <is>
          <t>ÖREBRO LÄN</t>
        </is>
      </c>
      <c r="E111" t="inlineStr">
        <is>
          <t>NORA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23277-2024</t>
        </is>
      </c>
      <c r="B112" s="1" t="n">
        <v>45453.40982638889</v>
      </c>
      <c r="C112" s="1" t="n">
        <v>46183</v>
      </c>
      <c r="D112" t="inlineStr">
        <is>
          <t>ÖREBRO LÄN</t>
        </is>
      </c>
      <c r="E112" t="inlineStr">
        <is>
          <t>NORA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46183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46183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5217-2022</t>
        </is>
      </c>
      <c r="B115" s="1" t="n">
        <v>44593</v>
      </c>
      <c r="C115" s="1" t="n">
        <v>46183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38.4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27844-2025</t>
        </is>
      </c>
      <c r="B116" s="1" t="n">
        <v>45817.39009259259</v>
      </c>
      <c r="C116" s="1" t="n">
        <v>46183</v>
      </c>
      <c r="D116" t="inlineStr">
        <is>
          <t>ÖREBRO LÄN</t>
        </is>
      </c>
      <c r="E116" t="inlineStr">
        <is>
          <t>NORA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49959-2023</t>
        </is>
      </c>
      <c r="B117" s="1" t="n">
        <v>45215.38530092593</v>
      </c>
      <c r="C117" s="1" t="n">
        <v>46183</v>
      </c>
      <c r="D117" t="inlineStr">
        <is>
          <t>ÖREBRO LÄN</t>
        </is>
      </c>
      <c r="E117" t="inlineStr">
        <is>
          <t>NORA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36064-2023</t>
        </is>
      </c>
      <c r="B118" s="1" t="n">
        <v>45149</v>
      </c>
      <c r="C118" s="1" t="n">
        <v>46183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46688-2023</t>
        </is>
      </c>
      <c r="B119" s="1" t="n">
        <v>45198.51881944444</v>
      </c>
      <c r="C119" s="1" t="n">
        <v>46183</v>
      </c>
      <c r="D119" t="inlineStr">
        <is>
          <t>ÖREBRO LÄN</t>
        </is>
      </c>
      <c r="E119" t="inlineStr">
        <is>
          <t>NORA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4723-2023</t>
        </is>
      </c>
      <c r="B120" s="1" t="n">
        <v>44957.51490740741</v>
      </c>
      <c r="C120" s="1" t="n">
        <v>46183</v>
      </c>
      <c r="D120" t="inlineStr">
        <is>
          <t>ÖREBRO LÄN</t>
        </is>
      </c>
      <c r="E120" t="inlineStr">
        <is>
          <t>NORA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35144-2023</t>
        </is>
      </c>
      <c r="B121" s="1" t="n">
        <v>45145</v>
      </c>
      <c r="C121" s="1" t="n">
        <v>46183</v>
      </c>
      <c r="D121" t="inlineStr">
        <is>
          <t>ÖREBRO LÄN</t>
        </is>
      </c>
      <c r="E121" t="inlineStr">
        <is>
          <t>NORA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9457-2025</t>
        </is>
      </c>
      <c r="B122" s="1" t="n">
        <v>45714</v>
      </c>
      <c r="C122" s="1" t="n">
        <v>46183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34759-2024</t>
        </is>
      </c>
      <c r="B123" s="1" t="n">
        <v>45526</v>
      </c>
      <c r="C123" s="1" t="n">
        <v>46183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49632-2022</t>
        </is>
      </c>
      <c r="B124" s="1" t="n">
        <v>44862.43023148148</v>
      </c>
      <c r="C124" s="1" t="n">
        <v>46183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5049-2022</t>
        </is>
      </c>
      <c r="B125" s="1" t="n">
        <v>44593</v>
      </c>
      <c r="C125" s="1" t="n">
        <v>46183</v>
      </c>
      <c r="D125" t="inlineStr">
        <is>
          <t>ÖREBRO LÄN</t>
        </is>
      </c>
      <c r="E125" t="inlineStr">
        <is>
          <t>NORA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17770-2022</t>
        </is>
      </c>
      <c r="B126" s="1" t="n">
        <v>44682.64953703704</v>
      </c>
      <c r="C126" s="1" t="n">
        <v>46183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26916-2022</t>
        </is>
      </c>
      <c r="B127" s="1" t="n">
        <v>44740</v>
      </c>
      <c r="C127" s="1" t="n">
        <v>46183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10079-2024</t>
        </is>
      </c>
      <c r="B128" s="1" t="n">
        <v>45364.42604166667</v>
      </c>
      <c r="C128" s="1" t="n">
        <v>46183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48707-2022</t>
        </is>
      </c>
      <c r="B129" s="1" t="n">
        <v>44859</v>
      </c>
      <c r="C129" s="1" t="n">
        <v>46183</v>
      </c>
      <c r="D129" t="inlineStr">
        <is>
          <t>ÖREBRO LÄN</t>
        </is>
      </c>
      <c r="E129" t="inlineStr">
        <is>
          <t>NORA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45159-2023</t>
        </is>
      </c>
      <c r="B130" s="1" t="n">
        <v>45191.49001157407</v>
      </c>
      <c r="C130" s="1" t="n">
        <v>46183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52879-2023</t>
        </is>
      </c>
      <c r="B131" s="1" t="n">
        <v>45226.47349537037</v>
      </c>
      <c r="C131" s="1" t="n">
        <v>46183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32501-2025</t>
        </is>
      </c>
      <c r="B132" s="1" t="n">
        <v>45838.46260416666</v>
      </c>
      <c r="C132" s="1" t="n">
        <v>46183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45216-2023</t>
        </is>
      </c>
      <c r="B133" s="1" t="n">
        <v>45191</v>
      </c>
      <c r="C133" s="1" t="n">
        <v>46183</v>
      </c>
      <c r="D133" t="inlineStr">
        <is>
          <t>ÖREBRO LÄN</t>
        </is>
      </c>
      <c r="E133" t="inlineStr">
        <is>
          <t>NORA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17140-2022</t>
        </is>
      </c>
      <c r="B134" s="1" t="n">
        <v>44677.53418981482</v>
      </c>
      <c r="C134" s="1" t="n">
        <v>46183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3309-2024</t>
        </is>
      </c>
      <c r="B135" s="1" t="n">
        <v>45317</v>
      </c>
      <c r="C135" s="1" t="n">
        <v>46183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39257-2023</t>
        </is>
      </c>
      <c r="B136" s="1" t="n">
        <v>45166.48097222222</v>
      </c>
      <c r="C136" s="1" t="n">
        <v>46183</v>
      </c>
      <c r="D136" t="inlineStr">
        <is>
          <t>ÖREBRO LÄN</t>
        </is>
      </c>
      <c r="E136" t="inlineStr">
        <is>
          <t>NORA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9295-2025</t>
        </is>
      </c>
      <c r="B137" s="1" t="n">
        <v>45714</v>
      </c>
      <c r="C137" s="1" t="n">
        <v>46183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34835-2025</t>
        </is>
      </c>
      <c r="B138" s="1" t="n">
        <v>45849.38855324074</v>
      </c>
      <c r="C138" s="1" t="n">
        <v>46183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34825-2025</t>
        </is>
      </c>
      <c r="B139" s="1" t="n">
        <v>45849.38262731482</v>
      </c>
      <c r="C139" s="1" t="n">
        <v>46183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24818-2024</t>
        </is>
      </c>
      <c r="B140" s="1" t="n">
        <v>45461.33123842593</v>
      </c>
      <c r="C140" s="1" t="n">
        <v>46183</v>
      </c>
      <c r="D140" t="inlineStr">
        <is>
          <t>ÖREBRO LÄN</t>
        </is>
      </c>
      <c r="E140" t="inlineStr">
        <is>
          <t>NORA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11864-2025</t>
        </is>
      </c>
      <c r="B141" s="1" t="n">
        <v>45728.41668981482</v>
      </c>
      <c r="C141" s="1" t="n">
        <v>46183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14477-2025</t>
        </is>
      </c>
      <c r="B142" s="1" t="n">
        <v>45741.58723379629</v>
      </c>
      <c r="C142" s="1" t="n">
        <v>46183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34824-2025</t>
        </is>
      </c>
      <c r="B143" s="1" t="n">
        <v>45849.38061342593</v>
      </c>
      <c r="C143" s="1" t="n">
        <v>46183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34827-2025</t>
        </is>
      </c>
      <c r="B144" s="1" t="n">
        <v>45849.38547453703</v>
      </c>
      <c r="C144" s="1" t="n">
        <v>46183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14482-2025</t>
        </is>
      </c>
      <c r="B145" s="1" t="n">
        <v>45741.59662037037</v>
      </c>
      <c r="C145" s="1" t="n">
        <v>46183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40082-2025</t>
        </is>
      </c>
      <c r="B146" s="1" t="n">
        <v>45894.46731481481</v>
      </c>
      <c r="C146" s="1" t="n">
        <v>46183</v>
      </c>
      <c r="D146" t="inlineStr">
        <is>
          <t>ÖREBRO LÄN</t>
        </is>
      </c>
      <c r="E146" t="inlineStr">
        <is>
          <t>NORA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41588-2025</t>
        </is>
      </c>
      <c r="B147" s="1" t="n">
        <v>45901.63114583334</v>
      </c>
      <c r="C147" s="1" t="n">
        <v>46183</v>
      </c>
      <c r="D147" t="inlineStr">
        <is>
          <t>ÖREBRO LÄN</t>
        </is>
      </c>
      <c r="E147" t="inlineStr">
        <is>
          <t>NORA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11888-2025</t>
        </is>
      </c>
      <c r="B148" s="1" t="n">
        <v>45728.45688657407</v>
      </c>
      <c r="C148" s="1" t="n">
        <v>46183</v>
      </c>
      <c r="D148" t="inlineStr">
        <is>
          <t>ÖREBRO LÄN</t>
        </is>
      </c>
      <c r="E148" t="inlineStr">
        <is>
          <t>NORA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49498-2024</t>
        </is>
      </c>
      <c r="B149" s="1" t="n">
        <v>45596.3672337963</v>
      </c>
      <c r="C149" s="1" t="n">
        <v>46183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62217-2023</t>
        </is>
      </c>
      <c r="B150" s="1" t="n">
        <v>45267.51355324074</v>
      </c>
      <c r="C150" s="1" t="n">
        <v>46183</v>
      </c>
      <c r="D150" t="inlineStr">
        <is>
          <t>ÖREBRO LÄN</t>
        </is>
      </c>
      <c r="E150" t="inlineStr">
        <is>
          <t>NORA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42056-2025</t>
        </is>
      </c>
      <c r="B151" s="1" t="n">
        <v>45903.64190972222</v>
      </c>
      <c r="C151" s="1" t="n">
        <v>46183</v>
      </c>
      <c r="D151" t="inlineStr">
        <is>
          <t>ÖREBRO LÄN</t>
        </is>
      </c>
      <c r="E151" t="inlineStr">
        <is>
          <t>NORA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20565-2025</t>
        </is>
      </c>
      <c r="B152" s="1" t="n">
        <v>45775.66307870371</v>
      </c>
      <c r="C152" s="1" t="n">
        <v>46183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53129-2023</t>
        </is>
      </c>
      <c r="B153" s="1" t="n">
        <v>45229</v>
      </c>
      <c r="C153" s="1" t="n">
        <v>46183</v>
      </c>
      <c r="D153" t="inlineStr">
        <is>
          <t>ÖREBRO LÄN</t>
        </is>
      </c>
      <c r="E153" t="inlineStr">
        <is>
          <t>NORA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62592-2021</t>
        </is>
      </c>
      <c r="B154" s="1" t="n">
        <v>44503</v>
      </c>
      <c r="C154" s="1" t="n">
        <v>46183</v>
      </c>
      <c r="D154" t="inlineStr">
        <is>
          <t>ÖREBRO LÄN</t>
        </is>
      </c>
      <c r="E154" t="inlineStr">
        <is>
          <t>NORA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24391-2024</t>
        </is>
      </c>
      <c r="B155" s="1" t="n">
        <v>45457.63850694444</v>
      </c>
      <c r="C155" s="1" t="n">
        <v>46183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24392-2024</t>
        </is>
      </c>
      <c r="B156" s="1" t="n">
        <v>45457.64085648148</v>
      </c>
      <c r="C156" s="1" t="n">
        <v>46183</v>
      </c>
      <c r="D156" t="inlineStr">
        <is>
          <t>ÖREBRO LÄN</t>
        </is>
      </c>
      <c r="E156" t="inlineStr">
        <is>
          <t>NORA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14315-2025</t>
        </is>
      </c>
      <c r="B157" s="1" t="n">
        <v>45740.72116898148</v>
      </c>
      <c r="C157" s="1" t="n">
        <v>46183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46183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46183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43535-2023</t>
        </is>
      </c>
      <c r="B160" s="1" t="n">
        <v>45184</v>
      </c>
      <c r="C160" s="1" t="n">
        <v>46183</v>
      </c>
      <c r="D160" t="inlineStr">
        <is>
          <t>ÖREBRO LÄN</t>
        </is>
      </c>
      <c r="E160" t="inlineStr">
        <is>
          <t>NORA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35659-2023</t>
        </is>
      </c>
      <c r="B161" s="1" t="n">
        <v>45147</v>
      </c>
      <c r="C161" s="1" t="n">
        <v>46183</v>
      </c>
      <c r="D161" t="inlineStr">
        <is>
          <t>ÖREBRO LÄN</t>
        </is>
      </c>
      <c r="E161" t="inlineStr">
        <is>
          <t>NORA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36089-2025</t>
        </is>
      </c>
      <c r="B162" s="1" t="n">
        <v>45866</v>
      </c>
      <c r="C162" s="1" t="n">
        <v>46183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16957-2025</t>
        </is>
      </c>
      <c r="B163" s="1" t="n">
        <v>45755.44732638889</v>
      </c>
      <c r="C163" s="1" t="n">
        <v>46183</v>
      </c>
      <c r="D163" t="inlineStr">
        <is>
          <t>ÖREBRO LÄN</t>
        </is>
      </c>
      <c r="E163" t="inlineStr">
        <is>
          <t>NORA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12183-2025</t>
        </is>
      </c>
      <c r="B164" s="1" t="n">
        <v>45729.46353009259</v>
      </c>
      <c r="C164" s="1" t="n">
        <v>46183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52505-2023</t>
        </is>
      </c>
      <c r="B165" s="1" t="n">
        <v>45225</v>
      </c>
      <c r="C165" s="1" t="n">
        <v>46183</v>
      </c>
      <c r="D165" t="inlineStr">
        <is>
          <t>ÖREBRO LÄN</t>
        </is>
      </c>
      <c r="E165" t="inlineStr">
        <is>
          <t>NORA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35656-2024</t>
        </is>
      </c>
      <c r="B166" s="1" t="n">
        <v>45532</v>
      </c>
      <c r="C166" s="1" t="n">
        <v>46183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26023-2023</t>
        </is>
      </c>
      <c r="B167" s="1" t="n">
        <v>45091.2925</v>
      </c>
      <c r="C167" s="1" t="n">
        <v>46183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47030-2025</t>
        </is>
      </c>
      <c r="B168" s="1" t="n">
        <v>45929.58944444444</v>
      </c>
      <c r="C168" s="1" t="n">
        <v>46183</v>
      </c>
      <c r="D168" t="inlineStr">
        <is>
          <t>ÖREBRO LÄN</t>
        </is>
      </c>
      <c r="E168" t="inlineStr">
        <is>
          <t>NORA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57316-2022</t>
        </is>
      </c>
      <c r="B169" s="1" t="n">
        <v>44896.32079861111</v>
      </c>
      <c r="C169" s="1" t="n">
        <v>46183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26022-2023</t>
        </is>
      </c>
      <c r="B170" s="1" t="n">
        <v>45091.29174768519</v>
      </c>
      <c r="C170" s="1" t="n">
        <v>46183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38179-2023</t>
        </is>
      </c>
      <c r="B171" s="1" t="n">
        <v>45161.45337962963</v>
      </c>
      <c r="C171" s="1" t="n">
        <v>46183</v>
      </c>
      <c r="D171" t="inlineStr">
        <is>
          <t>ÖREBRO LÄN</t>
        </is>
      </c>
      <c r="E171" t="inlineStr">
        <is>
          <t>NORA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48610-2023</t>
        </is>
      </c>
      <c r="B172" s="1" t="n">
        <v>45208</v>
      </c>
      <c r="C172" s="1" t="n">
        <v>46183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45645-2022</t>
        </is>
      </c>
      <c r="B173" s="1" t="n">
        <v>44845.65557870371</v>
      </c>
      <c r="C173" s="1" t="n">
        <v>46183</v>
      </c>
      <c r="D173" t="inlineStr">
        <is>
          <t>ÖREBRO LÄN</t>
        </is>
      </c>
      <c r="E173" t="inlineStr">
        <is>
          <t>NORA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24832-2024</t>
        </is>
      </c>
      <c r="B174" s="1" t="n">
        <v>45461.38202546296</v>
      </c>
      <c r="C174" s="1" t="n">
        <v>46183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48775-2025</t>
        </is>
      </c>
      <c r="B175" s="1" t="n">
        <v>45937.00422453704</v>
      </c>
      <c r="C175" s="1" t="n">
        <v>46183</v>
      </c>
      <c r="D175" t="inlineStr">
        <is>
          <t>ÖREBRO LÄN</t>
        </is>
      </c>
      <c r="E175" t="inlineStr">
        <is>
          <t>NORA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40497-2024</t>
        </is>
      </c>
      <c r="B176" s="1" t="n">
        <v>45555.57101851852</v>
      </c>
      <c r="C176" s="1" t="n">
        <v>46183</v>
      </c>
      <c r="D176" t="inlineStr">
        <is>
          <t>ÖREBRO LÄN</t>
        </is>
      </c>
      <c r="E176" t="inlineStr">
        <is>
          <t>NORA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29669-2025</t>
        </is>
      </c>
      <c r="B177" s="1" t="n">
        <v>45825</v>
      </c>
      <c r="C177" s="1" t="n">
        <v>46183</v>
      </c>
      <c r="D177" t="inlineStr">
        <is>
          <t>ÖREBRO LÄN</t>
        </is>
      </c>
      <c r="E177" t="inlineStr">
        <is>
          <t>NORA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7579-2024</t>
        </is>
      </c>
      <c r="B178" s="1" t="n">
        <v>45348</v>
      </c>
      <c r="C178" s="1" t="n">
        <v>46183</v>
      </c>
      <c r="D178" t="inlineStr">
        <is>
          <t>ÖREBRO LÄN</t>
        </is>
      </c>
      <c r="E178" t="inlineStr">
        <is>
          <t>NORA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49675-2025</t>
        </is>
      </c>
      <c r="B179" s="1" t="n">
        <v>45939</v>
      </c>
      <c r="C179" s="1" t="n">
        <v>46183</v>
      </c>
      <c r="D179" t="inlineStr">
        <is>
          <t>ÖREBRO LÄN</t>
        </is>
      </c>
      <c r="E179" t="inlineStr">
        <is>
          <t>NORA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22389-2023</t>
        </is>
      </c>
      <c r="B180" s="1" t="n">
        <v>45070</v>
      </c>
      <c r="C180" s="1" t="n">
        <v>46183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49671-2025</t>
        </is>
      </c>
      <c r="B181" s="1" t="n">
        <v>45939</v>
      </c>
      <c r="C181" s="1" t="n">
        <v>46183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49676-2025</t>
        </is>
      </c>
      <c r="B182" s="1" t="n">
        <v>45939</v>
      </c>
      <c r="C182" s="1" t="n">
        <v>46183</v>
      </c>
      <c r="D182" t="inlineStr">
        <is>
          <t>ÖREBRO LÄN</t>
        </is>
      </c>
      <c r="E182" t="inlineStr">
        <is>
          <t>NORA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51002-2025</t>
        </is>
      </c>
      <c r="B183" s="1" t="n">
        <v>45947.36173611111</v>
      </c>
      <c r="C183" s="1" t="n">
        <v>46183</v>
      </c>
      <c r="D183" t="inlineStr">
        <is>
          <t>ÖREBRO LÄN</t>
        </is>
      </c>
      <c r="E183" t="inlineStr">
        <is>
          <t>NORA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41669-2021</t>
        </is>
      </c>
      <c r="B184" s="1" t="n">
        <v>44425</v>
      </c>
      <c r="C184" s="1" t="n">
        <v>46183</v>
      </c>
      <c r="D184" t="inlineStr">
        <is>
          <t>ÖREBRO LÄN</t>
        </is>
      </c>
      <c r="E184" t="inlineStr">
        <is>
          <t>NORA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34164-2022</t>
        </is>
      </c>
      <c r="B185" s="1" t="n">
        <v>44791.58640046296</v>
      </c>
      <c r="C185" s="1" t="n">
        <v>46183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51245-2025</t>
        </is>
      </c>
      <c r="B186" s="1" t="n">
        <v>45947.80872685185</v>
      </c>
      <c r="C186" s="1" t="n">
        <v>46183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51246-2025</t>
        </is>
      </c>
      <c r="B187" s="1" t="n">
        <v>45947.81226851852</v>
      </c>
      <c r="C187" s="1" t="n">
        <v>46183</v>
      </c>
      <c r="D187" t="inlineStr">
        <is>
          <t>ÖREBRO LÄN</t>
        </is>
      </c>
      <c r="E187" t="inlineStr">
        <is>
          <t>NORA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41696-2023</t>
        </is>
      </c>
      <c r="B188" s="1" t="n">
        <v>45176</v>
      </c>
      <c r="C188" s="1" t="n">
        <v>46183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42049-2023</t>
        </is>
      </c>
      <c r="B189" s="1" t="n">
        <v>45177</v>
      </c>
      <c r="C189" s="1" t="n">
        <v>46183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16537-2024</t>
        </is>
      </c>
      <c r="B190" s="1" t="n">
        <v>45408.43247685185</v>
      </c>
      <c r="C190" s="1" t="n">
        <v>46183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12907-2025</t>
        </is>
      </c>
      <c r="B191" s="1" t="n">
        <v>45733.8203587963</v>
      </c>
      <c r="C191" s="1" t="n">
        <v>46183</v>
      </c>
      <c r="D191" t="inlineStr">
        <is>
          <t>ÖREBRO LÄN</t>
        </is>
      </c>
      <c r="E191" t="inlineStr">
        <is>
          <t>NORA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52380-2025</t>
        </is>
      </c>
      <c r="B192" s="1" t="n">
        <v>45953.94951388889</v>
      </c>
      <c r="C192" s="1" t="n">
        <v>46183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46544-2021</t>
        </is>
      </c>
      <c r="B193" s="1" t="n">
        <v>44445</v>
      </c>
      <c r="C193" s="1" t="n">
        <v>46183</v>
      </c>
      <c r="D193" t="inlineStr">
        <is>
          <t>ÖREBRO LÄN</t>
        </is>
      </c>
      <c r="E193" t="inlineStr">
        <is>
          <t>NORA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35608-2021</t>
        </is>
      </c>
      <c r="B194" s="1" t="n">
        <v>44386.38070601852</v>
      </c>
      <c r="C194" s="1" t="n">
        <v>46183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52379-2023</t>
        </is>
      </c>
      <c r="B195" s="1" t="n">
        <v>45224</v>
      </c>
      <c r="C195" s="1" t="n">
        <v>46183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54595-2025</t>
        </is>
      </c>
      <c r="B196" s="1" t="n">
        <v>45965.7556712963</v>
      </c>
      <c r="C196" s="1" t="n">
        <v>46183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5674-2023</t>
        </is>
      </c>
      <c r="B197" s="1" t="n">
        <v>44960.66104166667</v>
      </c>
      <c r="C197" s="1" t="n">
        <v>46183</v>
      </c>
      <c r="D197" t="inlineStr">
        <is>
          <t>ÖREBRO LÄN</t>
        </is>
      </c>
      <c r="E197" t="inlineStr">
        <is>
          <t>NORA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55035-2025</t>
        </is>
      </c>
      <c r="B198" s="1" t="n">
        <v>45967.64612268518</v>
      </c>
      <c r="C198" s="1" t="n">
        <v>46183</v>
      </c>
      <c r="D198" t="inlineStr">
        <is>
          <t>ÖREBRO LÄN</t>
        </is>
      </c>
      <c r="E198" t="inlineStr">
        <is>
          <t>NORA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16085-2024</t>
        </is>
      </c>
      <c r="B199" s="1" t="n">
        <v>45406.37230324074</v>
      </c>
      <c r="C199" s="1" t="n">
        <v>46183</v>
      </c>
      <c r="D199" t="inlineStr">
        <is>
          <t>ÖREBRO LÄN</t>
        </is>
      </c>
      <c r="E199" t="inlineStr">
        <is>
          <t>NORA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35675-2023</t>
        </is>
      </c>
      <c r="B200" s="1" t="n">
        <v>45147</v>
      </c>
      <c r="C200" s="1" t="n">
        <v>46183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31957-2024</t>
        </is>
      </c>
      <c r="B201" s="1" t="n">
        <v>45510.49798611111</v>
      </c>
      <c r="C201" s="1" t="n">
        <v>46183</v>
      </c>
      <c r="D201" t="inlineStr">
        <is>
          <t>ÖREBRO LÄN</t>
        </is>
      </c>
      <c r="E201" t="inlineStr">
        <is>
          <t>NORA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63825-2023</t>
        </is>
      </c>
      <c r="B202" s="1" t="n">
        <v>45278</v>
      </c>
      <c r="C202" s="1" t="n">
        <v>46183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56565-2025</t>
        </is>
      </c>
      <c r="B203" s="1" t="n">
        <v>45974</v>
      </c>
      <c r="C203" s="1" t="n">
        <v>46183</v>
      </c>
      <c r="D203" t="inlineStr">
        <is>
          <t>ÖREBRO LÄN</t>
        </is>
      </c>
      <c r="E203" t="inlineStr">
        <is>
          <t>NORA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40710-2021</t>
        </is>
      </c>
      <c r="B204" s="1" t="n">
        <v>44420</v>
      </c>
      <c r="C204" s="1" t="n">
        <v>46183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46183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46183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24821-2024</t>
        </is>
      </c>
      <c r="B207" s="1" t="n">
        <v>45461.34765046297</v>
      </c>
      <c r="C207" s="1" t="n">
        <v>46183</v>
      </c>
      <c r="D207" t="inlineStr">
        <is>
          <t>ÖREBRO LÄN</t>
        </is>
      </c>
      <c r="E207" t="inlineStr">
        <is>
          <t>NORA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61952-2023</t>
        </is>
      </c>
      <c r="B208" s="1" t="n">
        <v>45266.56415509259</v>
      </c>
      <c r="C208" s="1" t="n">
        <v>46183</v>
      </c>
      <c r="D208" t="inlineStr">
        <is>
          <t>ÖREBRO LÄN</t>
        </is>
      </c>
      <c r="E208" t="inlineStr">
        <is>
          <t>NORA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17352-2024</t>
        </is>
      </c>
      <c r="B209" s="1" t="n">
        <v>45414.5908912037</v>
      </c>
      <c r="C209" s="1" t="n">
        <v>46183</v>
      </c>
      <c r="D209" t="inlineStr">
        <is>
          <t>ÖREBRO LÄN</t>
        </is>
      </c>
      <c r="E209" t="inlineStr">
        <is>
          <t>NORA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59607-2024</t>
        </is>
      </c>
      <c r="B210" s="1" t="n">
        <v>45638.74914351852</v>
      </c>
      <c r="C210" s="1" t="n">
        <v>46183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4977-2023</t>
        </is>
      </c>
      <c r="B211" s="1" t="n">
        <v>44958.46266203704</v>
      </c>
      <c r="C211" s="1" t="n">
        <v>46183</v>
      </c>
      <c r="D211" t="inlineStr">
        <is>
          <t>ÖREBRO LÄN</t>
        </is>
      </c>
      <c r="E211" t="inlineStr">
        <is>
          <t>NORA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58521-2025</t>
        </is>
      </c>
      <c r="B212" s="1" t="n">
        <v>45985</v>
      </c>
      <c r="C212" s="1" t="n">
        <v>46183</v>
      </c>
      <c r="D212" t="inlineStr">
        <is>
          <t>ÖREBRO LÄN</t>
        </is>
      </c>
      <c r="E212" t="inlineStr">
        <is>
          <t>NORA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33887-2024</t>
        </is>
      </c>
      <c r="B213" s="1" t="n">
        <v>45523.3167824074</v>
      </c>
      <c r="C213" s="1" t="n">
        <v>46183</v>
      </c>
      <c r="D213" t="inlineStr">
        <is>
          <t>ÖREBRO LÄN</t>
        </is>
      </c>
      <c r="E213" t="inlineStr">
        <is>
          <t>NORA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46410-2021</t>
        </is>
      </c>
      <c r="B214" s="1" t="n">
        <v>44444</v>
      </c>
      <c r="C214" s="1" t="n">
        <v>46183</v>
      </c>
      <c r="D214" t="inlineStr">
        <is>
          <t>ÖREBRO LÄN</t>
        </is>
      </c>
      <c r="E214" t="inlineStr">
        <is>
          <t>NORA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29112-2023</t>
        </is>
      </c>
      <c r="B215" s="1" t="n">
        <v>45105.39409722222</v>
      </c>
      <c r="C215" s="1" t="n">
        <v>46183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24822-2024</t>
        </is>
      </c>
      <c r="B216" s="1" t="n">
        <v>45461.34818287037</v>
      </c>
      <c r="C216" s="1" t="n">
        <v>46183</v>
      </c>
      <c r="D216" t="inlineStr">
        <is>
          <t>ÖREBRO LÄN</t>
        </is>
      </c>
      <c r="E216" t="inlineStr">
        <is>
          <t>NORA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43919-2023</t>
        </is>
      </c>
      <c r="B217" s="1" t="n">
        <v>45182</v>
      </c>
      <c r="C217" s="1" t="n">
        <v>46183</v>
      </c>
      <c r="D217" t="inlineStr">
        <is>
          <t>ÖREBRO LÄN</t>
        </is>
      </c>
      <c r="E217" t="inlineStr">
        <is>
          <t>NORA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45229-2023</t>
        </is>
      </c>
      <c r="B218" s="1" t="n">
        <v>45191</v>
      </c>
      <c r="C218" s="1" t="n">
        <v>46183</v>
      </c>
      <c r="D218" t="inlineStr">
        <is>
          <t>ÖREBRO LÄN</t>
        </is>
      </c>
      <c r="E218" t="inlineStr">
        <is>
          <t>NORA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60397-2022</t>
        </is>
      </c>
      <c r="B219" s="1" t="n">
        <v>44910.90956018519</v>
      </c>
      <c r="C219" s="1" t="n">
        <v>46183</v>
      </c>
      <c r="D219" t="inlineStr">
        <is>
          <t>ÖREBRO LÄN</t>
        </is>
      </c>
      <c r="E219" t="inlineStr">
        <is>
          <t>NORA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11631-2022</t>
        </is>
      </c>
      <c r="B220" s="1" t="n">
        <v>44631</v>
      </c>
      <c r="C220" s="1" t="n">
        <v>46183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8936-2025</t>
        </is>
      </c>
      <c r="B221" s="1" t="n">
        <v>45714</v>
      </c>
      <c r="C221" s="1" t="n">
        <v>46183</v>
      </c>
      <c r="D221" t="inlineStr">
        <is>
          <t>ÖREBRO LÄN</t>
        </is>
      </c>
      <c r="E221" t="inlineStr">
        <is>
          <t>NORA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60152-2025</t>
        </is>
      </c>
      <c r="B222" s="1" t="n">
        <v>45994</v>
      </c>
      <c r="C222" s="1" t="n">
        <v>46183</v>
      </c>
      <c r="D222" t="inlineStr">
        <is>
          <t>ÖREBRO LÄN</t>
        </is>
      </c>
      <c r="E222" t="inlineStr">
        <is>
          <t>NORA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60166-2025</t>
        </is>
      </c>
      <c r="B223" s="1" t="n">
        <v>45994</v>
      </c>
      <c r="C223" s="1" t="n">
        <v>46183</v>
      </c>
      <c r="D223" t="inlineStr">
        <is>
          <t>ÖREBRO LÄN</t>
        </is>
      </c>
      <c r="E223" t="inlineStr">
        <is>
          <t>NORA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60169-2025</t>
        </is>
      </c>
      <c r="B224" s="1" t="n">
        <v>45994</v>
      </c>
      <c r="C224" s="1" t="n">
        <v>46183</v>
      </c>
      <c r="D224" t="inlineStr">
        <is>
          <t>ÖREBRO LÄN</t>
        </is>
      </c>
      <c r="E224" t="inlineStr">
        <is>
          <t>NORA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27767-2023</t>
        </is>
      </c>
      <c r="B225" s="1" t="n">
        <v>45098.41659722223</v>
      </c>
      <c r="C225" s="1" t="n">
        <v>46183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13563-2024</t>
        </is>
      </c>
      <c r="B226" s="1" t="n">
        <v>45388.99935185185</v>
      </c>
      <c r="C226" s="1" t="n">
        <v>46183</v>
      </c>
      <c r="D226" t="inlineStr">
        <is>
          <t>ÖREBRO LÄN</t>
        </is>
      </c>
      <c r="E226" t="inlineStr">
        <is>
          <t>NORA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64090-2023</t>
        </is>
      </c>
      <c r="B227" s="1" t="n">
        <v>45279.43923611111</v>
      </c>
      <c r="C227" s="1" t="n">
        <v>46183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60548-2025</t>
        </is>
      </c>
      <c r="B228" s="1" t="n">
        <v>45995.71252314815</v>
      </c>
      <c r="C228" s="1" t="n">
        <v>46183</v>
      </c>
      <c r="D228" t="inlineStr">
        <is>
          <t>ÖREBRO LÄN</t>
        </is>
      </c>
      <c r="E228" t="inlineStr">
        <is>
          <t>NORA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58829-2023</t>
        </is>
      </c>
      <c r="B229" s="1" t="n">
        <v>45252</v>
      </c>
      <c r="C229" s="1" t="n">
        <v>46183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25723-2023</t>
        </is>
      </c>
      <c r="B230" s="1" t="n">
        <v>45090.3674537037</v>
      </c>
      <c r="C230" s="1" t="n">
        <v>46183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59056-2024</t>
        </is>
      </c>
      <c r="B231" s="1" t="n">
        <v>45636</v>
      </c>
      <c r="C231" s="1" t="n">
        <v>46183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9754-2022</t>
        </is>
      </c>
      <c r="B232" s="1" t="n">
        <v>44618.81180555555</v>
      </c>
      <c r="C232" s="1" t="n">
        <v>46183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1766-2026</t>
        </is>
      </c>
      <c r="B233" s="1" t="n">
        <v>46034.6880787037</v>
      </c>
      <c r="C233" s="1" t="n">
        <v>46183</v>
      </c>
      <c r="D233" t="inlineStr">
        <is>
          <t>ÖREBRO LÄN</t>
        </is>
      </c>
      <c r="E233" t="inlineStr">
        <is>
          <t>NORA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2261-2026</t>
        </is>
      </c>
      <c r="B234" s="1" t="n">
        <v>46036</v>
      </c>
      <c r="C234" s="1" t="n">
        <v>46183</v>
      </c>
      <c r="D234" t="inlineStr">
        <is>
          <t>ÖREBRO LÄN</t>
        </is>
      </c>
      <c r="E234" t="inlineStr">
        <is>
          <t>NORA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3686-2026</t>
        </is>
      </c>
      <c r="B235" s="1" t="n">
        <v>46043.44011574074</v>
      </c>
      <c r="C235" s="1" t="n">
        <v>46183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10441-2026</t>
        </is>
      </c>
      <c r="B236" s="1" t="n">
        <v>46076</v>
      </c>
      <c r="C236" s="1" t="n">
        <v>46183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64026-2025</t>
        </is>
      </c>
      <c r="B237" s="1" t="n">
        <v>46021.47569444445</v>
      </c>
      <c r="C237" s="1" t="n">
        <v>46183</v>
      </c>
      <c r="D237" t="inlineStr">
        <is>
          <t>ÖREBRO LÄN</t>
        </is>
      </c>
      <c r="E237" t="inlineStr">
        <is>
          <t>NORA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12573-2026</t>
        </is>
      </c>
      <c r="B238" s="1" t="n">
        <v>46090.66447916667</v>
      </c>
      <c r="C238" s="1" t="n">
        <v>46183</v>
      </c>
      <c r="D238" t="inlineStr">
        <is>
          <t>ÖREBRO LÄN</t>
        </is>
      </c>
      <c r="E238" t="inlineStr">
        <is>
          <t>NORA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14242-2026</t>
        </is>
      </c>
      <c r="B239" s="1" t="n">
        <v>46099.60429398148</v>
      </c>
      <c r="C239" s="1" t="n">
        <v>46183</v>
      </c>
      <c r="D239" t="inlineStr">
        <is>
          <t>ÖREBRO LÄN</t>
        </is>
      </c>
      <c r="E239" t="inlineStr">
        <is>
          <t>NORA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14253-2026</t>
        </is>
      </c>
      <c r="B240" s="1" t="n">
        <v>46099.61896990741</v>
      </c>
      <c r="C240" s="1" t="n">
        <v>46183</v>
      </c>
      <c r="D240" t="inlineStr">
        <is>
          <t>ÖREBRO LÄN</t>
        </is>
      </c>
      <c r="E240" t="inlineStr">
        <is>
          <t>NORA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21256-2026</t>
        </is>
      </c>
      <c r="B241" s="1" t="n">
        <v>46147.39226851852</v>
      </c>
      <c r="C241" s="1" t="n">
        <v>46183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21270-2026</t>
        </is>
      </c>
      <c r="B242" s="1" t="n">
        <v>46147.43085648148</v>
      </c>
      <c r="C242" s="1" t="n">
        <v>46183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21276-2026</t>
        </is>
      </c>
      <c r="B243" s="1" t="n">
        <v>46147.44309027777</v>
      </c>
      <c r="C243" s="1" t="n">
        <v>46183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21262-2026</t>
        </is>
      </c>
      <c r="B244" s="1" t="n">
        <v>46147.40321759259</v>
      </c>
      <c r="C244" s="1" t="n">
        <v>46183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21271-2026</t>
        </is>
      </c>
      <c r="B245" s="1" t="n">
        <v>46147.43164351852</v>
      </c>
      <c r="C245" s="1" t="n">
        <v>46183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15702-2026</t>
        </is>
      </c>
      <c r="B246" s="1" t="n">
        <v>46107.34780092593</v>
      </c>
      <c r="C246" s="1" t="n">
        <v>46183</v>
      </c>
      <c r="D246" t="inlineStr">
        <is>
          <t>ÖREBRO LÄN</t>
        </is>
      </c>
      <c r="E246" t="inlineStr">
        <is>
          <t>NORA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15712-2026</t>
        </is>
      </c>
      <c r="B247" s="1" t="n">
        <v>46107.35884259259</v>
      </c>
      <c r="C247" s="1" t="n">
        <v>46183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15692-2026</t>
        </is>
      </c>
      <c r="B248" s="1" t="n">
        <v>46107.34225694444</v>
      </c>
      <c r="C248" s="1" t="n">
        <v>46183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16813-2026</t>
        </is>
      </c>
      <c r="B249" s="1" t="n">
        <v>46113.49621527778</v>
      </c>
      <c r="C249" s="1" t="n">
        <v>46183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16815-2026</t>
        </is>
      </c>
      <c r="B250" s="1" t="n">
        <v>46113.49802083334</v>
      </c>
      <c r="C250" s="1" t="n">
        <v>46183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16816-2026</t>
        </is>
      </c>
      <c r="B251" s="1" t="n">
        <v>46113.49991898148</v>
      </c>
      <c r="C251" s="1" t="n">
        <v>46183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22474-2026</t>
        </is>
      </c>
      <c r="B252" s="1" t="n">
        <v>46155.39695601852</v>
      </c>
      <c r="C252" s="1" t="n">
        <v>46183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22481-2026</t>
        </is>
      </c>
      <c r="B253" s="1" t="n">
        <v>46155.40670138889</v>
      </c>
      <c r="C253" s="1" t="n">
        <v>46183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16810-2026</t>
        </is>
      </c>
      <c r="B254" s="1" t="n">
        <v>46113.49311342592</v>
      </c>
      <c r="C254" s="1" t="n">
        <v>46183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16811-2026</t>
        </is>
      </c>
      <c r="B255" s="1" t="n">
        <v>46113.49465277778</v>
      </c>
      <c r="C255" s="1" t="n">
        <v>46183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22266-2026</t>
        </is>
      </c>
      <c r="B256" s="1" t="n">
        <v>46154.38645833333</v>
      </c>
      <c r="C256" s="1" t="n">
        <v>46183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16808-2026</t>
        </is>
      </c>
      <c r="B257" s="1" t="n">
        <v>46113.49188657408</v>
      </c>
      <c r="C257" s="1" t="n">
        <v>46183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22478-2026</t>
        </is>
      </c>
      <c r="B258" s="1" t="n">
        <v>46155.401875</v>
      </c>
      <c r="C258" s="1" t="n">
        <v>46183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22480-2026</t>
        </is>
      </c>
      <c r="B259" s="1" t="n">
        <v>46155.40488425926</v>
      </c>
      <c r="C259" s="1" t="n">
        <v>46183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22485-2026</t>
        </is>
      </c>
      <c r="B260" s="1" t="n">
        <v>46155.40791666666</v>
      </c>
      <c r="C260" s="1" t="n">
        <v>46183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22476-2026</t>
        </is>
      </c>
      <c r="B261" s="1" t="n">
        <v>46155.39934027778</v>
      </c>
      <c r="C261" s="1" t="n">
        <v>46183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16814-2026</t>
        </is>
      </c>
      <c r="B262" s="1" t="n">
        <v>46113.49700231481</v>
      </c>
      <c r="C262" s="1" t="n">
        <v>46183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19501-2026</t>
        </is>
      </c>
      <c r="B263" s="1" t="n">
        <v>46134.33060185185</v>
      </c>
      <c r="C263" s="1" t="n">
        <v>46183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19503-2026</t>
        </is>
      </c>
      <c r="B264" s="1" t="n">
        <v>46134.33292824074</v>
      </c>
      <c r="C264" s="1" t="n">
        <v>46183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19502-2026</t>
        </is>
      </c>
      <c r="B265" s="1" t="n">
        <v>46134.33180555556</v>
      </c>
      <c r="C265" s="1" t="n">
        <v>46183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19504-2026</t>
        </is>
      </c>
      <c r="B266" s="1" t="n">
        <v>46134.33381944444</v>
      </c>
      <c r="C266" s="1" t="n">
        <v>46183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19505-2026</t>
        </is>
      </c>
      <c r="B267" s="1" t="n">
        <v>46134.33460648148</v>
      </c>
      <c r="C267" s="1" t="n">
        <v>46183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19509-2026</t>
        </is>
      </c>
      <c r="B268" s="1" t="n">
        <v>46134.33887731482</v>
      </c>
      <c r="C268" s="1" t="n">
        <v>46183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19510-2026</t>
        </is>
      </c>
      <c r="B269" s="1" t="n">
        <v>46134.33972222222</v>
      </c>
      <c r="C269" s="1" t="n">
        <v>46183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19512-2026</t>
        </is>
      </c>
      <c r="B270" s="1" t="n">
        <v>46134.3412962963</v>
      </c>
      <c r="C270" s="1" t="n">
        <v>46183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19553-2026</t>
        </is>
      </c>
      <c r="B271" s="1" t="n">
        <v>46134.40564814815</v>
      </c>
      <c r="C271" s="1" t="n">
        <v>46183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60892-2025</t>
        </is>
      </c>
      <c r="B272" s="1" t="n">
        <v>45999.57278935185</v>
      </c>
      <c r="C272" s="1" t="n">
        <v>46183</v>
      </c>
      <c r="D272" t="inlineStr">
        <is>
          <t>ÖREBRO LÄN</t>
        </is>
      </c>
      <c r="E272" t="inlineStr">
        <is>
          <t>NORA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25486-2026</t>
        </is>
      </c>
      <c r="B273" s="1" t="n">
        <v>46177.43438657407</v>
      </c>
      <c r="C273" s="1" t="n">
        <v>46183</v>
      </c>
      <c r="D273" t="inlineStr">
        <is>
          <t>ÖREBRO LÄN</t>
        </is>
      </c>
      <c r="E273" t="inlineStr">
        <is>
          <t>NORA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39837-2025</t>
        </is>
      </c>
      <c r="B274" s="1" t="n">
        <v>45891.56561342593</v>
      </c>
      <c r="C274" s="1" t="n">
        <v>46183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2026-06-10T09:28:47Z</dcterms:created>
  <dcterms:modified xmlns:dcterms="http://purl.org/dc/terms/" xmlns:xsi="http://www.w3.org/2001/XMLSchema-instance" xsi:type="dcterms:W3CDTF">2026-06-10T09:28:48Z</dcterms:modified>
</cp:coreProperties>
</file>