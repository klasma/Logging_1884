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45905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45905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45905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45905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45905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45905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45905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45905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45905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45905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45905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45905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45905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45905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26328-2021</t>
        </is>
      </c>
      <c r="B16" s="1" t="n">
        <v>44347</v>
      </c>
      <c r="C16" s="1" t="n">
        <v>45905</v>
      </c>
      <c r="D16" t="inlineStr">
        <is>
          <t>ÖREBRO LÄN</t>
        </is>
      </c>
      <c r="E16" t="inlineStr">
        <is>
          <t>NORA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26328-2021 artfynd.xlsx", "A 26328-2021")</f>
        <v/>
      </c>
      <c r="T16">
        <f>HYPERLINK("https://klasma.github.io/Logging_1884/kartor/A 26328-2021 karta.png", "A 26328-2021")</f>
        <v/>
      </c>
      <c r="V16">
        <f>HYPERLINK("https://klasma.github.io/Logging_1884/klagomål/A 26328-2021 FSC-klagomål.docx", "A 26328-2021")</f>
        <v/>
      </c>
      <c r="W16">
        <f>HYPERLINK("https://klasma.github.io/Logging_1884/klagomålsmail/A 26328-2021 FSC-klagomål mail.docx", "A 26328-2021")</f>
        <v/>
      </c>
      <c r="X16">
        <f>HYPERLINK("https://klasma.github.io/Logging_1884/tillsyn/A 26328-2021 tillsynsbegäran.docx", "A 26328-2021")</f>
        <v/>
      </c>
      <c r="Y16">
        <f>HYPERLINK("https://klasma.github.io/Logging_1884/tillsynsmail/A 26328-2021 tillsynsbegäran mail.docx", "A 26328-2021")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45905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45905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45905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45905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45905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45905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45905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45905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45905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32496-2025</t>
        </is>
      </c>
      <c r="B26" s="1" t="n">
        <v>45838.45506944445</v>
      </c>
      <c r="C26" s="1" t="n">
        <v>45905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32496-2025 artfynd.xlsx", "A 32496-2025")</f>
        <v/>
      </c>
      <c r="T26">
        <f>HYPERLINK("https://klasma.github.io/Logging_1884/kartor/A 32496-2025 karta.png", "A 32496-2025")</f>
        <v/>
      </c>
      <c r="V26">
        <f>HYPERLINK("https://klasma.github.io/Logging_1884/klagomål/A 32496-2025 FSC-klagomål.docx", "A 32496-2025")</f>
        <v/>
      </c>
      <c r="W26">
        <f>HYPERLINK("https://klasma.github.io/Logging_1884/klagomålsmail/A 32496-2025 FSC-klagomål mail.docx", "A 32496-2025")</f>
        <v/>
      </c>
      <c r="X26">
        <f>HYPERLINK("https://klasma.github.io/Logging_1884/tillsyn/A 32496-2025 tillsynsbegäran.docx", "A 32496-2025")</f>
        <v/>
      </c>
      <c r="Y26">
        <f>HYPERLINK("https://klasma.github.io/Logging_1884/tillsynsmail/A 32496-2025 tillsynsbegäran mail.docx", "A 32496-2025")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45905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45905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45905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45905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42036-2025</t>
        </is>
      </c>
      <c r="B31" s="1" t="n">
        <v>45903.61173611111</v>
      </c>
      <c r="C31" s="1" t="n">
        <v>45905</v>
      </c>
      <c r="D31" t="inlineStr">
        <is>
          <t>ÖREBRO LÄN</t>
        </is>
      </c>
      <c r="E31" t="inlineStr">
        <is>
          <t>NORA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HYPERLINK("https://klasma.github.io/Logging_1884/artfynd/A 42036-2025 artfynd.xlsx", "A 42036-2025")</f>
        <v/>
      </c>
      <c r="T31">
        <f>HYPERLINK("https://klasma.github.io/Logging_1884/kartor/A 42036-2025 karta.png", "A 42036-2025")</f>
        <v/>
      </c>
      <c r="V31">
        <f>HYPERLINK("https://klasma.github.io/Logging_1884/klagomål/A 42036-2025 FSC-klagomål.docx", "A 42036-2025")</f>
        <v/>
      </c>
      <c r="W31">
        <f>HYPERLINK("https://klasma.github.io/Logging_1884/klagomålsmail/A 42036-2025 FSC-klagomål mail.docx", "A 42036-2025")</f>
        <v/>
      </c>
      <c r="X31">
        <f>HYPERLINK("https://klasma.github.io/Logging_1884/tillsyn/A 42036-2025 tillsynsbegäran.docx", "A 42036-2025")</f>
        <v/>
      </c>
      <c r="Y31">
        <f>HYPERLINK("https://klasma.github.io/Logging_1884/tillsynsmail/A 42036-2025 tillsynsbegäran mail.docx", "A 42036-2025")</f>
        <v/>
      </c>
    </row>
    <row r="32" ht="15" customHeight="1">
      <c r="A32" t="inlineStr">
        <is>
          <t>A 53165-2022</t>
        </is>
      </c>
      <c r="B32" s="1" t="n">
        <v>44876.5034375</v>
      </c>
      <c r="C32" s="1" t="n">
        <v>45905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49878-2020</t>
        </is>
      </c>
      <c r="B33" s="1" t="n">
        <v>44107</v>
      </c>
      <c r="C33" s="1" t="n">
        <v>45905</v>
      </c>
      <c r="D33" t="inlineStr">
        <is>
          <t>ÖREBRO LÄN</t>
        </is>
      </c>
      <c r="E33" t="inlineStr">
        <is>
          <t>NORA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55870-2020</t>
        </is>
      </c>
      <c r="B34" s="1" t="n">
        <v>44132</v>
      </c>
      <c r="C34" s="1" t="n">
        <v>45905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67298-2021</t>
        </is>
      </c>
      <c r="B35" s="1" t="n">
        <v>44523</v>
      </c>
      <c r="C35" s="1" t="n">
        <v>45905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2304-2021</t>
        </is>
      </c>
      <c r="B36" s="1" t="n">
        <v>44213.74575231481</v>
      </c>
      <c r="C36" s="1" t="n">
        <v>45905</v>
      </c>
      <c r="D36" t="inlineStr">
        <is>
          <t>ÖREBRO LÄN</t>
        </is>
      </c>
      <c r="E36" t="inlineStr">
        <is>
          <t>NORA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45905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45905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49629-2022</t>
        </is>
      </c>
      <c r="B39" s="1" t="n">
        <v>44862.42960648148</v>
      </c>
      <c r="C39" s="1" t="n">
        <v>45905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45905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45905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45905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45905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45905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45905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45905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45905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45905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45905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45905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50588-2020</t>
        </is>
      </c>
      <c r="B51" s="1" t="n">
        <v>44110</v>
      </c>
      <c r="C51" s="1" t="n">
        <v>45905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45905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43126-2020</t>
        </is>
      </c>
      <c r="B53" s="1" t="n">
        <v>44079</v>
      </c>
      <c r="C53" s="1" t="n">
        <v>45905</v>
      </c>
      <c r="D53" t="inlineStr">
        <is>
          <t>ÖREBRO LÄN</t>
        </is>
      </c>
      <c r="E53" t="inlineStr">
        <is>
          <t>NORA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45905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45905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45905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45905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45905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45905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45905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45905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45905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45905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49632-2022</t>
        </is>
      </c>
      <c r="B64" s="1" t="n">
        <v>44862.43023148148</v>
      </c>
      <c r="C64" s="1" t="n">
        <v>45905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45905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45905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55310-2022</t>
        </is>
      </c>
      <c r="B67" s="1" t="n">
        <v>44887.40430555555</v>
      </c>
      <c r="C67" s="1" t="n">
        <v>45905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45905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45905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45905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45905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39710-2022</t>
        </is>
      </c>
      <c r="B72" s="1" t="n">
        <v>44818.95512731482</v>
      </c>
      <c r="C72" s="1" t="n">
        <v>45905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45905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45905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34193-2022</t>
        </is>
      </c>
      <c r="B75" s="1" t="n">
        <v>44791.63450231482</v>
      </c>
      <c r="C75" s="1" t="n">
        <v>45905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45905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45905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48105-2021</t>
        </is>
      </c>
      <c r="B78" s="1" t="n">
        <v>44449</v>
      </c>
      <c r="C78" s="1" t="n">
        <v>45905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45905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40643-2021</t>
        </is>
      </c>
      <c r="B80" s="1" t="n">
        <v>44420</v>
      </c>
      <c r="C80" s="1" t="n">
        <v>45905</v>
      </c>
      <c r="D80" t="inlineStr">
        <is>
          <t>ÖREBRO LÄN</t>
        </is>
      </c>
      <c r="E80" t="inlineStr">
        <is>
          <t>NORA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45905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26870-2022</t>
        </is>
      </c>
      <c r="B82" s="1" t="n">
        <v>44740.53197916667</v>
      </c>
      <c r="C82" s="1" t="n">
        <v>45905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67425-2020</t>
        </is>
      </c>
      <c r="B83" s="1" t="n">
        <v>44181</v>
      </c>
      <c r="C83" s="1" t="n">
        <v>45905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19166-2021</t>
        </is>
      </c>
      <c r="B84" s="1" t="n">
        <v>44308</v>
      </c>
      <c r="C84" s="1" t="n">
        <v>45905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45905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45905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68610-2021</t>
        </is>
      </c>
      <c r="B87" s="1" t="n">
        <v>44529.56203703704</v>
      </c>
      <c r="C87" s="1" t="n">
        <v>45905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21695-2022</t>
        </is>
      </c>
      <c r="B88" s="1" t="n">
        <v>44707.88415509259</v>
      </c>
      <c r="C88" s="1" t="n">
        <v>45905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5039-2022</t>
        </is>
      </c>
      <c r="B89" s="1" t="n">
        <v>44593</v>
      </c>
      <c r="C89" s="1" t="n">
        <v>45905</v>
      </c>
      <c r="D89" t="inlineStr">
        <is>
          <t>ÖREBRO LÄN</t>
        </is>
      </c>
      <c r="E89" t="inlineStr">
        <is>
          <t>NORA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49135-2021</t>
        </is>
      </c>
      <c r="B90" s="1" t="n">
        <v>44453</v>
      </c>
      <c r="C90" s="1" t="n">
        <v>45905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26314-2022</t>
        </is>
      </c>
      <c r="B91" s="1" t="n">
        <v>44735.59861111111</v>
      </c>
      <c r="C91" s="1" t="n">
        <v>45905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45905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45905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45905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55867-2021</t>
        </is>
      </c>
      <c r="B95" s="1" t="n">
        <v>44476</v>
      </c>
      <c r="C95" s="1" t="n">
        <v>45905</v>
      </c>
      <c r="D95" t="inlineStr">
        <is>
          <t>ÖREBRO LÄN</t>
        </is>
      </c>
      <c r="E95" t="inlineStr">
        <is>
          <t>NORA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35330-2021</t>
        </is>
      </c>
      <c r="B96" s="1" t="n">
        <v>44384.81996527778</v>
      </c>
      <c r="C96" s="1" t="n">
        <v>45905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46198-2023</t>
        </is>
      </c>
      <c r="B97" s="1" t="n">
        <v>45196</v>
      </c>
      <c r="C97" s="1" t="n">
        <v>45905</v>
      </c>
      <c r="D97" t="inlineStr">
        <is>
          <t>ÖREBRO LÄN</t>
        </is>
      </c>
      <c r="E97" t="inlineStr">
        <is>
          <t>NORA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45905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38177-2023</t>
        </is>
      </c>
      <c r="B99" s="1" t="n">
        <v>45161.44978009259</v>
      </c>
      <c r="C99" s="1" t="n">
        <v>45905</v>
      </c>
      <c r="D99" t="inlineStr">
        <is>
          <t>ÖREBRO LÄN</t>
        </is>
      </c>
      <c r="E99" t="inlineStr">
        <is>
          <t>NORA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13585-2024</t>
        </is>
      </c>
      <c r="B100" s="1" t="n">
        <v>45389.85309027778</v>
      </c>
      <c r="C100" s="1" t="n">
        <v>45905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16109-2024</t>
        </is>
      </c>
      <c r="B101" s="1" t="n">
        <v>45406.46753472222</v>
      </c>
      <c r="C101" s="1" t="n">
        <v>45905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26021-2023</t>
        </is>
      </c>
      <c r="B102" s="1" t="n">
        <v>45091.29033564815</v>
      </c>
      <c r="C102" s="1" t="n">
        <v>45905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12907-2025</t>
        </is>
      </c>
      <c r="B103" s="1" t="n">
        <v>45733.8203587963</v>
      </c>
      <c r="C103" s="1" t="n">
        <v>45905</v>
      </c>
      <c r="D103" t="inlineStr">
        <is>
          <t>ÖREBRO LÄN</t>
        </is>
      </c>
      <c r="E103" t="inlineStr">
        <is>
          <t>NORA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49634-2022</t>
        </is>
      </c>
      <c r="B104" s="1" t="n">
        <v>44862.43146990741</v>
      </c>
      <c r="C104" s="1" t="n">
        <v>45905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49635-2022</t>
        </is>
      </c>
      <c r="B105" s="1" t="n">
        <v>44862.43199074074</v>
      </c>
      <c r="C105" s="1" t="n">
        <v>45905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53472-2022</t>
        </is>
      </c>
      <c r="B106" s="1" t="n">
        <v>44879</v>
      </c>
      <c r="C106" s="1" t="n">
        <v>45905</v>
      </c>
      <c r="D106" t="inlineStr">
        <is>
          <t>ÖREBRO LÄN</t>
        </is>
      </c>
      <c r="E106" t="inlineStr">
        <is>
          <t>NORA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42743-2021</t>
        </is>
      </c>
      <c r="B107" s="1" t="n">
        <v>44428.61717592592</v>
      </c>
      <c r="C107" s="1" t="n">
        <v>45905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10882-2024</t>
        </is>
      </c>
      <c r="B108" s="1" t="n">
        <v>45370</v>
      </c>
      <c r="C108" s="1" t="n">
        <v>45905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16540-2024</t>
        </is>
      </c>
      <c r="B109" s="1" t="n">
        <v>45408.4334837963</v>
      </c>
      <c r="C109" s="1" t="n">
        <v>45905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15012-2023</t>
        </is>
      </c>
      <c r="B110" s="1" t="n">
        <v>45015</v>
      </c>
      <c r="C110" s="1" t="n">
        <v>45905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7148-2021</t>
        </is>
      </c>
      <c r="B111" s="1" t="n">
        <v>44238</v>
      </c>
      <c r="C111" s="1" t="n">
        <v>45905</v>
      </c>
      <c r="D111" t="inlineStr">
        <is>
          <t>ÖREBRO LÄN</t>
        </is>
      </c>
      <c r="E111" t="inlineStr">
        <is>
          <t>NORA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53365-2023</t>
        </is>
      </c>
      <c r="B112" s="1" t="n">
        <v>45229.66844907407</v>
      </c>
      <c r="C112" s="1" t="n">
        <v>45905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43254-2022</t>
        </is>
      </c>
      <c r="B113" s="1" t="n">
        <v>44834</v>
      </c>
      <c r="C113" s="1" t="n">
        <v>45905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8295-2024</t>
        </is>
      </c>
      <c r="B114" s="1" t="n">
        <v>45352.43674768518</v>
      </c>
      <c r="C114" s="1" t="n">
        <v>45905</v>
      </c>
      <c r="D114" t="inlineStr">
        <is>
          <t>ÖREBRO LÄN</t>
        </is>
      </c>
      <c r="E114" t="inlineStr">
        <is>
          <t>NORA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56871-2021</t>
        </is>
      </c>
      <c r="B115" s="1" t="n">
        <v>44481.78949074074</v>
      </c>
      <c r="C115" s="1" t="n">
        <v>45905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39707-2022</t>
        </is>
      </c>
      <c r="B116" s="1" t="n">
        <v>44818.95277777778</v>
      </c>
      <c r="C116" s="1" t="n">
        <v>45905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24828-2024</t>
        </is>
      </c>
      <c r="B117" s="1" t="n">
        <v>45461.3750462963</v>
      </c>
      <c r="C117" s="1" t="n">
        <v>45905</v>
      </c>
      <c r="D117" t="inlineStr">
        <is>
          <t>ÖREBRO LÄN</t>
        </is>
      </c>
      <c r="E117" t="inlineStr">
        <is>
          <t>NORA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44850-2022</t>
        </is>
      </c>
      <c r="B118" s="1" t="n">
        <v>44841</v>
      </c>
      <c r="C118" s="1" t="n">
        <v>45905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2413-2024</t>
        </is>
      </c>
      <c r="B119" s="1" t="n">
        <v>45310</v>
      </c>
      <c r="C119" s="1" t="n">
        <v>45905</v>
      </c>
      <c r="D119" t="inlineStr">
        <is>
          <t>ÖREBRO LÄN</t>
        </is>
      </c>
      <c r="E119" t="inlineStr">
        <is>
          <t>NORA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12815-2024</t>
        </is>
      </c>
      <c r="B120" s="1" t="n">
        <v>45384.66650462963</v>
      </c>
      <c r="C120" s="1" t="n">
        <v>45905</v>
      </c>
      <c r="D120" t="inlineStr">
        <is>
          <t>ÖREBRO LÄN</t>
        </is>
      </c>
      <c r="E120" t="inlineStr">
        <is>
          <t>NORA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4910-2023</t>
        </is>
      </c>
      <c r="B121" s="1" t="n">
        <v>44958.38488425926</v>
      </c>
      <c r="C121" s="1" t="n">
        <v>45905</v>
      </c>
      <c r="D121" t="inlineStr">
        <is>
          <t>ÖREBRO LÄN</t>
        </is>
      </c>
      <c r="E121" t="inlineStr">
        <is>
          <t>NORA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27577-2024</t>
        </is>
      </c>
      <c r="B122" s="1" t="n">
        <v>45474.65008101852</v>
      </c>
      <c r="C122" s="1" t="n">
        <v>45905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24820-2024</t>
        </is>
      </c>
      <c r="B123" s="1" t="n">
        <v>45461.3465625</v>
      </c>
      <c r="C123" s="1" t="n">
        <v>45905</v>
      </c>
      <c r="D123" t="inlineStr">
        <is>
          <t>ÖREBRO LÄN</t>
        </is>
      </c>
      <c r="E123" t="inlineStr">
        <is>
          <t>NORA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57639-2023</t>
        </is>
      </c>
      <c r="B124" s="1" t="n">
        <v>45246</v>
      </c>
      <c r="C124" s="1" t="n">
        <v>45905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38798-2021</t>
        </is>
      </c>
      <c r="B125" s="1" t="n">
        <v>44410</v>
      </c>
      <c r="C125" s="1" t="n">
        <v>45905</v>
      </c>
      <c r="D125" t="inlineStr">
        <is>
          <t>ÖREBRO LÄN</t>
        </is>
      </c>
      <c r="E125" t="inlineStr">
        <is>
          <t>NORA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21846-2025</t>
        </is>
      </c>
      <c r="B126" s="1" t="n">
        <v>45784.33967592593</v>
      </c>
      <c r="C126" s="1" t="n">
        <v>45905</v>
      </c>
      <c r="D126" t="inlineStr">
        <is>
          <t>ÖREBRO LÄN</t>
        </is>
      </c>
      <c r="E126" t="inlineStr">
        <is>
          <t>NORA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45905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12699-2023</t>
        </is>
      </c>
      <c r="B128" s="1" t="n">
        <v>45000</v>
      </c>
      <c r="C128" s="1" t="n">
        <v>45905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16281-2024</t>
        </is>
      </c>
      <c r="B129" s="1" t="n">
        <v>45407.36091435186</v>
      </c>
      <c r="C129" s="1" t="n">
        <v>45905</v>
      </c>
      <c r="D129" t="inlineStr">
        <is>
          <t>ÖREBRO LÄN</t>
        </is>
      </c>
      <c r="E129" t="inlineStr">
        <is>
          <t>NORA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45234-2023</t>
        </is>
      </c>
      <c r="B130" s="1" t="n">
        <v>45191.59268518518</v>
      </c>
      <c r="C130" s="1" t="n">
        <v>45905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64089-2023</t>
        </is>
      </c>
      <c r="B131" s="1" t="n">
        <v>45279</v>
      </c>
      <c r="C131" s="1" t="n">
        <v>45905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12646-2024</t>
        </is>
      </c>
      <c r="B132" s="1" t="n">
        <v>45384.34563657407</v>
      </c>
      <c r="C132" s="1" t="n">
        <v>45905</v>
      </c>
      <c r="D132" t="inlineStr">
        <is>
          <t>ÖREBRO LÄN</t>
        </is>
      </c>
      <c r="E132" t="inlineStr">
        <is>
          <t>NORA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49498-2024</t>
        </is>
      </c>
      <c r="B133" s="1" t="n">
        <v>45596.3672337963</v>
      </c>
      <c r="C133" s="1" t="n">
        <v>45905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70200-2021</t>
        </is>
      </c>
      <c r="B134" s="1" t="n">
        <v>44534.82171296296</v>
      </c>
      <c r="C134" s="1" t="n">
        <v>45905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59637-2021</t>
        </is>
      </c>
      <c r="B135" s="1" t="n">
        <v>44493</v>
      </c>
      <c r="C135" s="1" t="n">
        <v>45905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56136-2022</t>
        </is>
      </c>
      <c r="B136" s="1" t="n">
        <v>44889</v>
      </c>
      <c r="C136" s="1" t="n">
        <v>45905</v>
      </c>
      <c r="D136" t="inlineStr">
        <is>
          <t>ÖREBRO LÄN</t>
        </is>
      </c>
      <c r="E136" t="inlineStr">
        <is>
          <t>NORA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1566-2025</t>
        </is>
      </c>
      <c r="B137" s="1" t="n">
        <v>45670</v>
      </c>
      <c r="C137" s="1" t="n">
        <v>45905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73009-2021</t>
        </is>
      </c>
      <c r="B138" s="1" t="n">
        <v>44550.33282407407</v>
      </c>
      <c r="C138" s="1" t="n">
        <v>45905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54604-2024</t>
        </is>
      </c>
      <c r="B139" s="1" t="n">
        <v>45617.683125</v>
      </c>
      <c r="C139" s="1" t="n">
        <v>45905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40339-2024</t>
        </is>
      </c>
      <c r="B140" s="1" t="n">
        <v>45555.33125</v>
      </c>
      <c r="C140" s="1" t="n">
        <v>45905</v>
      </c>
      <c r="D140" t="inlineStr">
        <is>
          <t>ÖREBRO LÄN</t>
        </is>
      </c>
      <c r="E140" t="inlineStr">
        <is>
          <t>NORA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17344-2024</t>
        </is>
      </c>
      <c r="B141" s="1" t="n">
        <v>45414.58052083333</v>
      </c>
      <c r="C141" s="1" t="n">
        <v>45905</v>
      </c>
      <c r="D141" t="inlineStr">
        <is>
          <t>ÖREBRO LÄN</t>
        </is>
      </c>
      <c r="E141" t="inlineStr">
        <is>
          <t>NORA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44425.50175925926</v>
      </c>
      <c r="C142" s="1" t="n">
        <v>45905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43843-2023</t>
        </is>
      </c>
      <c r="B143" s="1" t="n">
        <v>45187</v>
      </c>
      <c r="C143" s="1" t="n">
        <v>45905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16557-2024</t>
        </is>
      </c>
      <c r="B144" s="1" t="n">
        <v>45408.45260416667</v>
      </c>
      <c r="C144" s="1" t="n">
        <v>45905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348-2025</t>
        </is>
      </c>
      <c r="B145" s="1" t="n">
        <v>45660</v>
      </c>
      <c r="C145" s="1" t="n">
        <v>45905</v>
      </c>
      <c r="D145" t="inlineStr">
        <is>
          <t>ÖREBRO LÄN</t>
        </is>
      </c>
      <c r="E145" t="inlineStr">
        <is>
          <t>NORA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5562-2025</t>
        </is>
      </c>
      <c r="B146" s="1" t="n">
        <v>45693</v>
      </c>
      <c r="C146" s="1" t="n">
        <v>45905</v>
      </c>
      <c r="D146" t="inlineStr">
        <is>
          <t>ÖREBRO LÄN</t>
        </is>
      </c>
      <c r="E146" t="inlineStr">
        <is>
          <t>NORA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37849-2023</t>
        </is>
      </c>
      <c r="B147" s="1" t="n">
        <v>45158</v>
      </c>
      <c r="C147" s="1" t="n">
        <v>45905</v>
      </c>
      <c r="D147" t="inlineStr">
        <is>
          <t>ÖREBRO LÄN</t>
        </is>
      </c>
      <c r="E147" t="inlineStr">
        <is>
          <t>NORA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53938-2023</t>
        </is>
      </c>
      <c r="B148" s="1" t="n">
        <v>45231</v>
      </c>
      <c r="C148" s="1" t="n">
        <v>45905</v>
      </c>
      <c r="D148" t="inlineStr">
        <is>
          <t>ÖREBRO LÄN</t>
        </is>
      </c>
      <c r="E148" t="inlineStr">
        <is>
          <t>NORA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5590-2025</t>
        </is>
      </c>
      <c r="B149" s="1" t="n">
        <v>45693</v>
      </c>
      <c r="C149" s="1" t="n">
        <v>45905</v>
      </c>
      <c r="D149" t="inlineStr">
        <is>
          <t>ÖREBRO LÄN</t>
        </is>
      </c>
      <c r="E149" t="inlineStr">
        <is>
          <t>NORA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5217-2022</t>
        </is>
      </c>
      <c r="B150" s="1" t="n">
        <v>44593</v>
      </c>
      <c r="C150" s="1" t="n">
        <v>45905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38.4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26657-2025</t>
        </is>
      </c>
      <c r="B151" s="1" t="n">
        <v>45810.39180555556</v>
      </c>
      <c r="C151" s="1" t="n">
        <v>45905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65942-2020</t>
        </is>
      </c>
      <c r="B152" s="1" t="n">
        <v>44173</v>
      </c>
      <c r="C152" s="1" t="n">
        <v>45905</v>
      </c>
      <c r="D152" t="inlineStr">
        <is>
          <t>ÖREBRO LÄN</t>
        </is>
      </c>
      <c r="E152" t="inlineStr">
        <is>
          <t>NORA</t>
        </is>
      </c>
      <c r="F152" t="inlineStr">
        <is>
          <t>Övriga Aktiebolag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55766-2024</t>
        </is>
      </c>
      <c r="B153" s="1" t="n">
        <v>45623.37702546296</v>
      </c>
      <c r="C153" s="1" t="n">
        <v>45905</v>
      </c>
      <c r="D153" t="inlineStr">
        <is>
          <t>ÖREBRO LÄN</t>
        </is>
      </c>
      <c r="E153" t="inlineStr">
        <is>
          <t>NORA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4723-2023</t>
        </is>
      </c>
      <c r="B154" s="1" t="n">
        <v>44957.51490740741</v>
      </c>
      <c r="C154" s="1" t="n">
        <v>45905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35144-2023</t>
        </is>
      </c>
      <c r="B155" s="1" t="n">
        <v>45145</v>
      </c>
      <c r="C155" s="1" t="n">
        <v>45905</v>
      </c>
      <c r="D155" t="inlineStr">
        <is>
          <t>ÖREBRO LÄN</t>
        </is>
      </c>
      <c r="E155" t="inlineStr">
        <is>
          <t>NORA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52303-2024</t>
        </is>
      </c>
      <c r="B156" s="1" t="n">
        <v>45608.75231481482</v>
      </c>
      <c r="C156" s="1" t="n">
        <v>45905</v>
      </c>
      <c r="D156" t="inlineStr">
        <is>
          <t>ÖREBRO LÄN</t>
        </is>
      </c>
      <c r="E156" t="inlineStr">
        <is>
          <t>NORA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34755-2024</t>
        </is>
      </c>
      <c r="B157" s="1" t="n">
        <v>45526</v>
      </c>
      <c r="C157" s="1" t="n">
        <v>45905</v>
      </c>
      <c r="D157" t="inlineStr">
        <is>
          <t>ÖREBRO LÄN</t>
        </is>
      </c>
      <c r="E157" t="inlineStr">
        <is>
          <t>NORA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49959-2023</t>
        </is>
      </c>
      <c r="B158" s="1" t="n">
        <v>45215.38530092593</v>
      </c>
      <c r="C158" s="1" t="n">
        <v>45905</v>
      </c>
      <c r="D158" t="inlineStr">
        <is>
          <t>ÖREBRO LÄN</t>
        </is>
      </c>
      <c r="E158" t="inlineStr">
        <is>
          <t>NORA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5049-2022</t>
        </is>
      </c>
      <c r="B159" s="1" t="n">
        <v>44593</v>
      </c>
      <c r="C159" s="1" t="n">
        <v>45905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36064-2023</t>
        </is>
      </c>
      <c r="B160" s="1" t="n">
        <v>45149</v>
      </c>
      <c r="C160" s="1" t="n">
        <v>45905</v>
      </c>
      <c r="D160" t="inlineStr">
        <is>
          <t>ÖREBRO LÄN</t>
        </is>
      </c>
      <c r="E160" t="inlineStr">
        <is>
          <t>NORA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23277-2024</t>
        </is>
      </c>
      <c r="B161" s="1" t="n">
        <v>45453.40982638889</v>
      </c>
      <c r="C161" s="1" t="n">
        <v>45905</v>
      </c>
      <c r="D161" t="inlineStr">
        <is>
          <t>ÖREBRO LÄN</t>
        </is>
      </c>
      <c r="E161" t="inlineStr">
        <is>
          <t>NORA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45905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9457-2025</t>
        </is>
      </c>
      <c r="B163" s="1" t="n">
        <v>45714</v>
      </c>
      <c r="C163" s="1" t="n">
        <v>45905</v>
      </c>
      <c r="D163" t="inlineStr">
        <is>
          <t>ÖREBRO LÄN</t>
        </is>
      </c>
      <c r="E163" t="inlineStr">
        <is>
          <t>NORA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34759-2024</t>
        </is>
      </c>
      <c r="B164" s="1" t="n">
        <v>45526</v>
      </c>
      <c r="C164" s="1" t="n">
        <v>45905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10079-2024</t>
        </is>
      </c>
      <c r="B165" s="1" t="n">
        <v>45364.42604166667</v>
      </c>
      <c r="C165" s="1" t="n">
        <v>45905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48707-2022</t>
        </is>
      </c>
      <c r="B166" s="1" t="n">
        <v>44859</v>
      </c>
      <c r="C166" s="1" t="n">
        <v>45905</v>
      </c>
      <c r="D166" t="inlineStr">
        <is>
          <t>ÖREBRO LÄN</t>
        </is>
      </c>
      <c r="E166" t="inlineStr">
        <is>
          <t>NORA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45905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45159-2023</t>
        </is>
      </c>
      <c r="B168" s="1" t="n">
        <v>45191.49001157407</v>
      </c>
      <c r="C168" s="1" t="n">
        <v>45905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52879-2023</t>
        </is>
      </c>
      <c r="B169" s="1" t="n">
        <v>45226.47349537037</v>
      </c>
      <c r="C169" s="1" t="n">
        <v>45905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17770-2022</t>
        </is>
      </c>
      <c r="B170" s="1" t="n">
        <v>44682.64953703704</v>
      </c>
      <c r="C170" s="1" t="n">
        <v>45905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16529-2024</t>
        </is>
      </c>
      <c r="B171" s="1" t="n">
        <v>45408.42216435185</v>
      </c>
      <c r="C171" s="1" t="n">
        <v>45905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45216-2023</t>
        </is>
      </c>
      <c r="B172" s="1" t="n">
        <v>45191</v>
      </c>
      <c r="C172" s="1" t="n">
        <v>45905</v>
      </c>
      <c r="D172" t="inlineStr">
        <is>
          <t>ÖREBRO LÄN</t>
        </is>
      </c>
      <c r="E172" t="inlineStr">
        <is>
          <t>NORA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27878-2025</t>
        </is>
      </c>
      <c r="B173" s="1" t="n">
        <v>45817.443125</v>
      </c>
      <c r="C173" s="1" t="n">
        <v>45905</v>
      </c>
      <c r="D173" t="inlineStr">
        <is>
          <t>ÖREBRO LÄN</t>
        </is>
      </c>
      <c r="E173" t="inlineStr">
        <is>
          <t>NORA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27844-2025</t>
        </is>
      </c>
      <c r="B174" s="1" t="n">
        <v>45817.39009259259</v>
      </c>
      <c r="C174" s="1" t="n">
        <v>45905</v>
      </c>
      <c r="D174" t="inlineStr">
        <is>
          <t>ÖREBRO LÄN</t>
        </is>
      </c>
      <c r="E174" t="inlineStr">
        <is>
          <t>NORA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17140-2022</t>
        </is>
      </c>
      <c r="B175" s="1" t="n">
        <v>44677.53418981482</v>
      </c>
      <c r="C175" s="1" t="n">
        <v>45905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45905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9295-2025</t>
        </is>
      </c>
      <c r="B177" s="1" t="n">
        <v>45714</v>
      </c>
      <c r="C177" s="1" t="n">
        <v>45905</v>
      </c>
      <c r="D177" t="inlineStr">
        <is>
          <t>ÖREBRO LÄN</t>
        </is>
      </c>
      <c r="E177" t="inlineStr">
        <is>
          <t>NORA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39257-2023</t>
        </is>
      </c>
      <c r="B178" s="1" t="n">
        <v>45166.48097222222</v>
      </c>
      <c r="C178" s="1" t="n">
        <v>45905</v>
      </c>
      <c r="D178" t="inlineStr">
        <is>
          <t>ÖREBRO LÄN</t>
        </is>
      </c>
      <c r="E178" t="inlineStr">
        <is>
          <t>NORA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36089-2025</t>
        </is>
      </c>
      <c r="B179" s="1" t="n">
        <v>45866</v>
      </c>
      <c r="C179" s="1" t="n">
        <v>45905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29669-2025</t>
        </is>
      </c>
      <c r="B180" s="1" t="n">
        <v>45825.49673611111</v>
      </c>
      <c r="C180" s="1" t="n">
        <v>45905</v>
      </c>
      <c r="D180" t="inlineStr">
        <is>
          <t>ÖREBRO LÄN</t>
        </is>
      </c>
      <c r="E180" t="inlineStr">
        <is>
          <t>NORA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24818-2024</t>
        </is>
      </c>
      <c r="B181" s="1" t="n">
        <v>45461.33123842593</v>
      </c>
      <c r="C181" s="1" t="n">
        <v>45905</v>
      </c>
      <c r="D181" t="inlineStr">
        <is>
          <t>ÖREBRO LÄN</t>
        </is>
      </c>
      <c r="E181" t="inlineStr">
        <is>
          <t>NORA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11864-2025</t>
        </is>
      </c>
      <c r="B182" s="1" t="n">
        <v>45728.41668981482</v>
      </c>
      <c r="C182" s="1" t="n">
        <v>45905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56889-2024</t>
        </is>
      </c>
      <c r="B183" s="1" t="n">
        <v>45628</v>
      </c>
      <c r="C183" s="1" t="n">
        <v>45905</v>
      </c>
      <c r="D183" t="inlineStr">
        <is>
          <t>ÖREBRO LÄN</t>
        </is>
      </c>
      <c r="E183" t="inlineStr">
        <is>
          <t>NORA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11888-2025</t>
        </is>
      </c>
      <c r="B184" s="1" t="n">
        <v>45728.45688657407</v>
      </c>
      <c r="C184" s="1" t="n">
        <v>45905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62217-2023</t>
        </is>
      </c>
      <c r="B185" s="1" t="n">
        <v>45267.51355324074</v>
      </c>
      <c r="C185" s="1" t="n">
        <v>45905</v>
      </c>
      <c r="D185" t="inlineStr">
        <is>
          <t>ÖREBRO LÄN</t>
        </is>
      </c>
      <c r="E185" t="inlineStr">
        <is>
          <t>NORA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20565-2025</t>
        </is>
      </c>
      <c r="B186" s="1" t="n">
        <v>45775.66307870371</v>
      </c>
      <c r="C186" s="1" t="n">
        <v>45905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53129-2023</t>
        </is>
      </c>
      <c r="B187" s="1" t="n">
        <v>45229</v>
      </c>
      <c r="C187" s="1" t="n">
        <v>45905</v>
      </c>
      <c r="D187" t="inlineStr">
        <is>
          <t>ÖREBRO LÄN</t>
        </is>
      </c>
      <c r="E187" t="inlineStr">
        <is>
          <t>NORA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49500-2024</t>
        </is>
      </c>
      <c r="B188" s="1" t="n">
        <v>45596.36875</v>
      </c>
      <c r="C188" s="1" t="n">
        <v>45905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21449-2021</t>
        </is>
      </c>
      <c r="B189" s="1" t="n">
        <v>44321.46297453704</v>
      </c>
      <c r="C189" s="1" t="n">
        <v>45905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24391-2024</t>
        </is>
      </c>
      <c r="B190" s="1" t="n">
        <v>45457.63850694444</v>
      </c>
      <c r="C190" s="1" t="n">
        <v>45905</v>
      </c>
      <c r="D190" t="inlineStr">
        <is>
          <t>ÖREBRO LÄN</t>
        </is>
      </c>
      <c r="E190" t="inlineStr">
        <is>
          <t>NORA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24392-2024</t>
        </is>
      </c>
      <c r="B191" s="1" t="n">
        <v>45457.64085648148</v>
      </c>
      <c r="C191" s="1" t="n">
        <v>45905</v>
      </c>
      <c r="D191" t="inlineStr">
        <is>
          <t>ÖREBRO LÄN</t>
        </is>
      </c>
      <c r="E191" t="inlineStr">
        <is>
          <t>NORA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62592-2021</t>
        </is>
      </c>
      <c r="B192" s="1" t="n">
        <v>44503</v>
      </c>
      <c r="C192" s="1" t="n">
        <v>45905</v>
      </c>
      <c r="D192" t="inlineStr">
        <is>
          <t>ÖREBRO LÄN</t>
        </is>
      </c>
      <c r="E192" t="inlineStr">
        <is>
          <t>NORA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14315-2025</t>
        </is>
      </c>
      <c r="B193" s="1" t="n">
        <v>45740.72116898148</v>
      </c>
      <c r="C193" s="1" t="n">
        <v>45905</v>
      </c>
      <c r="D193" t="inlineStr">
        <is>
          <t>ÖREBRO LÄN</t>
        </is>
      </c>
      <c r="E193" t="inlineStr">
        <is>
          <t>NORA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34206-2022</t>
        </is>
      </c>
      <c r="B194" s="1" t="n">
        <v>44791.65267361111</v>
      </c>
      <c r="C194" s="1" t="n">
        <v>45905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17716-2025</t>
        </is>
      </c>
      <c r="B195" s="1" t="n">
        <v>45758.44623842592</v>
      </c>
      <c r="C195" s="1" t="n">
        <v>45905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43535-2023</t>
        </is>
      </c>
      <c r="B196" s="1" t="n">
        <v>45184</v>
      </c>
      <c r="C196" s="1" t="n">
        <v>45905</v>
      </c>
      <c r="D196" t="inlineStr">
        <is>
          <t>ÖREBRO LÄN</t>
        </is>
      </c>
      <c r="E196" t="inlineStr">
        <is>
          <t>NORA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37550-2025</t>
        </is>
      </c>
      <c r="B197" s="1" t="n">
        <v>45879.91046296297</v>
      </c>
      <c r="C197" s="1" t="n">
        <v>45905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32501-2025</t>
        </is>
      </c>
      <c r="B198" s="1" t="n">
        <v>45838.46260416666</v>
      </c>
      <c r="C198" s="1" t="n">
        <v>45905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35659-2023</t>
        </is>
      </c>
      <c r="B199" s="1" t="n">
        <v>45147</v>
      </c>
      <c r="C199" s="1" t="n">
        <v>45905</v>
      </c>
      <c r="D199" t="inlineStr">
        <is>
          <t>ÖREBRO LÄN</t>
        </is>
      </c>
      <c r="E199" t="inlineStr">
        <is>
          <t>NORA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57265-2024</t>
        </is>
      </c>
      <c r="B200" s="1" t="n">
        <v>45629.56938657408</v>
      </c>
      <c r="C200" s="1" t="n">
        <v>45905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32494-2025</t>
        </is>
      </c>
      <c r="B201" s="1" t="n">
        <v>45838.45402777778</v>
      </c>
      <c r="C201" s="1" t="n">
        <v>45905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16957-2025</t>
        </is>
      </c>
      <c r="B202" s="1" t="n">
        <v>45755.44732638889</v>
      </c>
      <c r="C202" s="1" t="n">
        <v>45905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34722-2024</t>
        </is>
      </c>
      <c r="B203" s="1" t="n">
        <v>45526</v>
      </c>
      <c r="C203" s="1" t="n">
        <v>45905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26023-2023</t>
        </is>
      </c>
      <c r="B204" s="1" t="n">
        <v>45091.2925</v>
      </c>
      <c r="C204" s="1" t="n">
        <v>45905</v>
      </c>
      <c r="D204" t="inlineStr">
        <is>
          <t>ÖREBRO LÄN</t>
        </is>
      </c>
      <c r="E204" t="inlineStr">
        <is>
          <t>NORA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52505-2023</t>
        </is>
      </c>
      <c r="B205" s="1" t="n">
        <v>45225</v>
      </c>
      <c r="C205" s="1" t="n">
        <v>45905</v>
      </c>
      <c r="D205" t="inlineStr">
        <is>
          <t>ÖREBRO LÄN</t>
        </is>
      </c>
      <c r="E205" t="inlineStr">
        <is>
          <t>NORA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57316-2022</t>
        </is>
      </c>
      <c r="B206" s="1" t="n">
        <v>44896.32079861111</v>
      </c>
      <c r="C206" s="1" t="n">
        <v>45905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48610-2023</t>
        </is>
      </c>
      <c r="B207" s="1" t="n">
        <v>45208</v>
      </c>
      <c r="C207" s="1" t="n">
        <v>45905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24832-2024</t>
        </is>
      </c>
      <c r="B208" s="1" t="n">
        <v>45461.38202546296</v>
      </c>
      <c r="C208" s="1" t="n">
        <v>45905</v>
      </c>
      <c r="D208" t="inlineStr">
        <is>
          <t>ÖREBRO LÄN</t>
        </is>
      </c>
      <c r="E208" t="inlineStr">
        <is>
          <t>NORA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26022-2023</t>
        </is>
      </c>
      <c r="B209" s="1" t="n">
        <v>45091.29174768519</v>
      </c>
      <c r="C209" s="1" t="n">
        <v>45905</v>
      </c>
      <c r="D209" t="inlineStr">
        <is>
          <t>ÖREBRO LÄN</t>
        </is>
      </c>
      <c r="E209" t="inlineStr">
        <is>
          <t>NORA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38179-2023</t>
        </is>
      </c>
      <c r="B210" s="1" t="n">
        <v>45161.45337962963</v>
      </c>
      <c r="C210" s="1" t="n">
        <v>45905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6181-2021</t>
        </is>
      </c>
      <c r="B211" s="1" t="n">
        <v>44232</v>
      </c>
      <c r="C211" s="1" t="n">
        <v>45905</v>
      </c>
      <c r="D211" t="inlineStr">
        <is>
          <t>ÖREBRO LÄN</t>
        </is>
      </c>
      <c r="E211" t="inlineStr">
        <is>
          <t>NORA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6179-2021</t>
        </is>
      </c>
      <c r="B212" s="1" t="n">
        <v>44232</v>
      </c>
      <c r="C212" s="1" t="n">
        <v>45905</v>
      </c>
      <c r="D212" t="inlineStr">
        <is>
          <t>ÖREBRO LÄN</t>
        </is>
      </c>
      <c r="E212" t="inlineStr">
        <is>
          <t>NORA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14025-2021</t>
        </is>
      </c>
      <c r="B213" s="1" t="n">
        <v>44277.65498842593</v>
      </c>
      <c r="C213" s="1" t="n">
        <v>45905</v>
      </c>
      <c r="D213" t="inlineStr">
        <is>
          <t>ÖREBRO LÄN</t>
        </is>
      </c>
      <c r="E213" t="inlineStr">
        <is>
          <t>NORA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45645-2022</t>
        </is>
      </c>
      <c r="B214" s="1" t="n">
        <v>44845.65557870371</v>
      </c>
      <c r="C214" s="1" t="n">
        <v>45905</v>
      </c>
      <c r="D214" t="inlineStr">
        <is>
          <t>ÖREBRO LÄN</t>
        </is>
      </c>
      <c r="E214" t="inlineStr">
        <is>
          <t>NORA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40082-2025</t>
        </is>
      </c>
      <c r="B215" s="1" t="n">
        <v>45894.46731481481</v>
      </c>
      <c r="C215" s="1" t="n">
        <v>45905</v>
      </c>
      <c r="D215" t="inlineStr">
        <is>
          <t>ÖREBRO LÄN</t>
        </is>
      </c>
      <c r="E215" t="inlineStr">
        <is>
          <t>NORA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56904-2024</t>
        </is>
      </c>
      <c r="B216" s="1" t="n">
        <v>45628.58696759259</v>
      </c>
      <c r="C216" s="1" t="n">
        <v>45905</v>
      </c>
      <c r="D216" t="inlineStr">
        <is>
          <t>ÖREBRO LÄN</t>
        </is>
      </c>
      <c r="E216" t="inlineStr">
        <is>
          <t>NORA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7579-2024</t>
        </is>
      </c>
      <c r="B217" s="1" t="n">
        <v>45348</v>
      </c>
      <c r="C217" s="1" t="n">
        <v>45905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34835-2025</t>
        </is>
      </c>
      <c r="B218" s="1" t="n">
        <v>45849.38855324074</v>
      </c>
      <c r="C218" s="1" t="n">
        <v>45905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34825-2025</t>
        </is>
      </c>
      <c r="B219" s="1" t="n">
        <v>45849.38262731482</v>
      </c>
      <c r="C219" s="1" t="n">
        <v>45905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14477-2025</t>
        </is>
      </c>
      <c r="B220" s="1" t="n">
        <v>45741.58723379629</v>
      </c>
      <c r="C220" s="1" t="n">
        <v>45905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39513-2025</t>
        </is>
      </c>
      <c r="B221" s="1" t="n">
        <v>45890.41581018519</v>
      </c>
      <c r="C221" s="1" t="n">
        <v>45905</v>
      </c>
      <c r="D221" t="inlineStr">
        <is>
          <t>ÖREBRO LÄN</t>
        </is>
      </c>
      <c r="E221" t="inlineStr">
        <is>
          <t>NORA</t>
        </is>
      </c>
      <c r="F221" t="inlineStr">
        <is>
          <t>Kommuner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34824-2025</t>
        </is>
      </c>
      <c r="B222" s="1" t="n">
        <v>45849.38061342593</v>
      </c>
      <c r="C222" s="1" t="n">
        <v>45905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34827-2025</t>
        </is>
      </c>
      <c r="B223" s="1" t="n">
        <v>45849.38547453703</v>
      </c>
      <c r="C223" s="1" t="n">
        <v>45905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39837-2025</t>
        </is>
      </c>
      <c r="B224" s="1" t="n">
        <v>45891.56561342593</v>
      </c>
      <c r="C224" s="1" t="n">
        <v>45905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14482-2025</t>
        </is>
      </c>
      <c r="B225" s="1" t="n">
        <v>45741.59662037037</v>
      </c>
      <c r="C225" s="1" t="n">
        <v>45905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40497-2024</t>
        </is>
      </c>
      <c r="B226" s="1" t="n">
        <v>45555.57101851852</v>
      </c>
      <c r="C226" s="1" t="n">
        <v>45905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12183-2025</t>
        </is>
      </c>
      <c r="B227" s="1" t="n">
        <v>45729.46353009259</v>
      </c>
      <c r="C227" s="1" t="n">
        <v>45905</v>
      </c>
      <c r="D227" t="inlineStr">
        <is>
          <t>ÖREBRO LÄN</t>
        </is>
      </c>
      <c r="E227" t="inlineStr">
        <is>
          <t>NORA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41669-2021</t>
        </is>
      </c>
      <c r="B228" s="1" t="n">
        <v>44425</v>
      </c>
      <c r="C228" s="1" t="n">
        <v>45905</v>
      </c>
      <c r="D228" t="inlineStr">
        <is>
          <t>ÖREBRO LÄN</t>
        </is>
      </c>
      <c r="E228" t="inlineStr">
        <is>
          <t>NORA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34164-2022</t>
        </is>
      </c>
      <c r="B229" s="1" t="n">
        <v>44791.58640046296</v>
      </c>
      <c r="C229" s="1" t="n">
        <v>45905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22389-2023</t>
        </is>
      </c>
      <c r="B230" s="1" t="n">
        <v>45070</v>
      </c>
      <c r="C230" s="1" t="n">
        <v>45905</v>
      </c>
      <c r="D230" t="inlineStr">
        <is>
          <t>ÖREBRO LÄN</t>
        </is>
      </c>
      <c r="E230" t="inlineStr">
        <is>
          <t>NORA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41588-2025</t>
        </is>
      </c>
      <c r="B231" s="1" t="n">
        <v>45901.63114583334</v>
      </c>
      <c r="C231" s="1" t="n">
        <v>45905</v>
      </c>
      <c r="D231" t="inlineStr">
        <is>
          <t>ÖREBRO LÄN</t>
        </is>
      </c>
      <c r="E231" t="inlineStr">
        <is>
          <t>NORA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41696-2023</t>
        </is>
      </c>
      <c r="B232" s="1" t="n">
        <v>45176</v>
      </c>
      <c r="C232" s="1" t="n">
        <v>45905</v>
      </c>
      <c r="D232" t="inlineStr">
        <is>
          <t>ÖREBRO LÄN</t>
        </is>
      </c>
      <c r="E232" t="inlineStr">
        <is>
          <t>NORA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42049-2023</t>
        </is>
      </c>
      <c r="B233" s="1" t="n">
        <v>45177</v>
      </c>
      <c r="C233" s="1" t="n">
        <v>45905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16537-2024</t>
        </is>
      </c>
      <c r="B234" s="1" t="n">
        <v>45408.43247685185</v>
      </c>
      <c r="C234" s="1" t="n">
        <v>45905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46544-2021</t>
        </is>
      </c>
      <c r="B235" s="1" t="n">
        <v>44445</v>
      </c>
      <c r="C235" s="1" t="n">
        <v>45905</v>
      </c>
      <c r="D235" t="inlineStr">
        <is>
          <t>ÖREBRO LÄN</t>
        </is>
      </c>
      <c r="E235" t="inlineStr">
        <is>
          <t>NORA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40126-2021</t>
        </is>
      </c>
      <c r="B236" s="1" t="n">
        <v>44418</v>
      </c>
      <c r="C236" s="1" t="n">
        <v>45905</v>
      </c>
      <c r="D236" t="inlineStr">
        <is>
          <t>ÖREBRO LÄN</t>
        </is>
      </c>
      <c r="E236" t="inlineStr">
        <is>
          <t>NORA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42049-2025</t>
        </is>
      </c>
      <c r="B237" s="1" t="n">
        <v>45903.63034722222</v>
      </c>
      <c r="C237" s="1" t="n">
        <v>45905</v>
      </c>
      <c r="D237" t="inlineStr">
        <is>
          <t>ÖREBRO LÄN</t>
        </is>
      </c>
      <c r="E237" t="inlineStr">
        <is>
          <t>NORA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42050-2025</t>
        </is>
      </c>
      <c r="B238" s="1" t="n">
        <v>45903.63047453704</v>
      </c>
      <c r="C238" s="1" t="n">
        <v>45905</v>
      </c>
      <c r="D238" t="inlineStr">
        <is>
          <t>ÖREBRO LÄN</t>
        </is>
      </c>
      <c r="E238" t="inlineStr">
        <is>
          <t>NORA</t>
        </is>
      </c>
      <c r="F238" t="inlineStr">
        <is>
          <t>Övriga Aktiebolag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42056-2025</t>
        </is>
      </c>
      <c r="B239" s="1" t="n">
        <v>45903.64190972222</v>
      </c>
      <c r="C239" s="1" t="n">
        <v>45905</v>
      </c>
      <c r="D239" t="inlineStr">
        <is>
          <t>ÖREBRO LÄN</t>
        </is>
      </c>
      <c r="E239" t="inlineStr">
        <is>
          <t>NORA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41939-2025</t>
        </is>
      </c>
      <c r="B240" s="1" t="n">
        <v>45903.44396990741</v>
      </c>
      <c r="C240" s="1" t="n">
        <v>45905</v>
      </c>
      <c r="D240" t="inlineStr">
        <is>
          <t>ÖREBRO LÄN</t>
        </is>
      </c>
      <c r="E240" t="inlineStr">
        <is>
          <t>NORA</t>
        </is>
      </c>
      <c r="F240" t="inlineStr">
        <is>
          <t>Övriga Aktiebolag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8589-2022</t>
        </is>
      </c>
      <c r="B241" s="1" t="n">
        <v>44613.55984953704</v>
      </c>
      <c r="C241" s="1" t="n">
        <v>45905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35608-2021</t>
        </is>
      </c>
      <c r="B242" s="1" t="n">
        <v>44386.38070601852</v>
      </c>
      <c r="C242" s="1" t="n">
        <v>45905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52379-2023</t>
        </is>
      </c>
      <c r="B243" s="1" t="n">
        <v>45224</v>
      </c>
      <c r="C243" s="1" t="n">
        <v>45905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5674-2023</t>
        </is>
      </c>
      <c r="B244" s="1" t="n">
        <v>44960.66104166667</v>
      </c>
      <c r="C244" s="1" t="n">
        <v>45905</v>
      </c>
      <c r="D244" t="inlineStr">
        <is>
          <t>ÖREBRO LÄN</t>
        </is>
      </c>
      <c r="E244" t="inlineStr">
        <is>
          <t>NORA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16085-2024</t>
        </is>
      </c>
      <c r="B245" s="1" t="n">
        <v>45406.37230324074</v>
      </c>
      <c r="C245" s="1" t="n">
        <v>45905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35675-2023</t>
        </is>
      </c>
      <c r="B246" s="1" t="n">
        <v>45147</v>
      </c>
      <c r="C246" s="1" t="n">
        <v>45905</v>
      </c>
      <c r="D246" t="inlineStr">
        <is>
          <t>ÖREBRO LÄN</t>
        </is>
      </c>
      <c r="E246" t="inlineStr">
        <is>
          <t>NORA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63825-2023</t>
        </is>
      </c>
      <c r="B247" s="1" t="n">
        <v>45278</v>
      </c>
      <c r="C247" s="1" t="n">
        <v>45905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31957-2024</t>
        </is>
      </c>
      <c r="B248" s="1" t="n">
        <v>45510.49798611111</v>
      </c>
      <c r="C248" s="1" t="n">
        <v>45905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45905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40710-2021</t>
        </is>
      </c>
      <c r="B250" s="1" t="n">
        <v>44420</v>
      </c>
      <c r="C250" s="1" t="n">
        <v>45905</v>
      </c>
      <c r="D250" t="inlineStr">
        <is>
          <t>ÖREBRO LÄN</t>
        </is>
      </c>
      <c r="E250" t="inlineStr">
        <is>
          <t>NORA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1521-2025</t>
        </is>
      </c>
      <c r="B251" s="1" t="n">
        <v>45670</v>
      </c>
      <c r="C251" s="1" t="n">
        <v>45905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29018-2023</t>
        </is>
      </c>
      <c r="B252" s="1" t="n">
        <v>45104</v>
      </c>
      <c r="C252" s="1" t="n">
        <v>45905</v>
      </c>
      <c r="D252" t="inlineStr">
        <is>
          <t>ÖREBRO LÄN</t>
        </is>
      </c>
      <c r="E252" t="inlineStr">
        <is>
          <t>NORA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60301-2023</t>
        </is>
      </c>
      <c r="B253" s="1" t="n">
        <v>45258</v>
      </c>
      <c r="C253" s="1" t="n">
        <v>45905</v>
      </c>
      <c r="D253" t="inlineStr">
        <is>
          <t>ÖREBRO LÄN</t>
        </is>
      </c>
      <c r="E253" t="inlineStr">
        <is>
          <t>NORA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45905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45905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45905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45905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45905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45905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45905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45905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45905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45905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45905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45905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45905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45905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45905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45905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45905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45905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45905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45905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45905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45905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45905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35656-2024</t>
        </is>
      </c>
      <c r="B277" s="1" t="n">
        <v>45532</v>
      </c>
      <c r="C277" s="1" t="n">
        <v>45905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2025-09-05T08:47:27Z</dcterms:created>
  <dcterms:modified xmlns:dcterms="http://purl.org/dc/terms/" xmlns:xsi="http://www.w3.org/2001/XMLSchema-instance" xsi:type="dcterms:W3CDTF">2025-09-05T08:47:27Z</dcterms:modified>
</cp:coreProperties>
</file>