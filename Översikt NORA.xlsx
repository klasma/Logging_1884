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45934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45934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45934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45934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45934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45934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45934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45934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65156-2020</t>
        </is>
      </c>
      <c r="B10" s="1" t="n">
        <v>44172</v>
      </c>
      <c r="C10" s="1" t="n">
        <v>45934</v>
      </c>
      <c r="D10" t="inlineStr">
        <is>
          <t>ÖREBRO LÄN</t>
        </is>
      </c>
      <c r="E10" t="inlineStr">
        <is>
          <t>NORA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HYPERLINK("https://klasma.github.io/Logging_1884/artfynd/A 65156-2020 artfynd.xlsx", "A 65156-2020")</f>
        <v/>
      </c>
      <c r="T10">
        <f>HYPERLINK("https://klasma.github.io/Logging_1884/kartor/A 65156-2020 karta.png", "A 65156-2020")</f>
        <v/>
      </c>
      <c r="V10">
        <f>HYPERLINK("https://klasma.github.io/Logging_1884/klagomål/A 65156-2020 FSC-klagomål.docx", "A 65156-2020")</f>
        <v/>
      </c>
      <c r="W10">
        <f>HYPERLINK("https://klasma.github.io/Logging_1884/klagomålsmail/A 65156-2020 FSC-klagomål mail.docx", "A 65156-2020")</f>
        <v/>
      </c>
      <c r="X10">
        <f>HYPERLINK("https://klasma.github.io/Logging_1884/tillsyn/A 65156-2020 tillsynsbegäran.docx", "A 65156-2020")</f>
        <v/>
      </c>
      <c r="Y10">
        <f>HYPERLINK("https://klasma.github.io/Logging_1884/tillsynsmail/A 65156-2020 tillsynsbegäran mail.docx", "A 65156-2020")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45934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45934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2066-2021</t>
        </is>
      </c>
      <c r="B13" s="1" t="n">
        <v>44211</v>
      </c>
      <c r="C13" s="1" t="n">
        <v>45934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HYPERLINK("https://klasma.github.io/Logging_1884/artfynd/A 2066-2021 artfynd.xlsx", "A 2066-2021")</f>
        <v/>
      </c>
      <c r="T13">
        <f>HYPERLINK("https://klasma.github.io/Logging_1884/kartor/A 2066-2021 karta.png", "A 2066-2021")</f>
        <v/>
      </c>
      <c r="V13">
        <f>HYPERLINK("https://klasma.github.io/Logging_1884/klagomål/A 2066-2021 FSC-klagomål.docx", "A 2066-2021")</f>
        <v/>
      </c>
      <c r="W13">
        <f>HYPERLINK("https://klasma.github.io/Logging_1884/klagomålsmail/A 2066-2021 FSC-klagomål mail.docx", "A 2066-2021")</f>
        <v/>
      </c>
      <c r="X13">
        <f>HYPERLINK("https://klasma.github.io/Logging_1884/tillsyn/A 2066-2021 tillsynsbegäran.docx", "A 2066-2021")</f>
        <v/>
      </c>
      <c r="Y13">
        <f>HYPERLINK("https://klasma.github.io/Logging_1884/tillsynsmail/A 2066-2021 tillsynsbegäran mail.docx", "A 2066-2021")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45934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16554-2024</t>
        </is>
      </c>
      <c r="B15" s="1" t="n">
        <v>45408</v>
      </c>
      <c r="C15" s="1" t="n">
        <v>45934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16554-2024 artfynd.xlsx", "A 16554-2024")</f>
        <v/>
      </c>
      <c r="T15">
        <f>HYPERLINK("https://klasma.github.io/Logging_1884/kartor/A 16554-2024 karta.png", "A 16554-2024")</f>
        <v/>
      </c>
      <c r="V15">
        <f>HYPERLINK("https://klasma.github.io/Logging_1884/klagomål/A 16554-2024 FSC-klagomål.docx", "A 16554-2024")</f>
        <v/>
      </c>
      <c r="W15">
        <f>HYPERLINK("https://klasma.github.io/Logging_1884/klagomålsmail/A 16554-2024 FSC-klagomål mail.docx", "A 16554-2024")</f>
        <v/>
      </c>
      <c r="X15">
        <f>HYPERLINK("https://klasma.github.io/Logging_1884/tillsyn/A 16554-2024 tillsynsbegäran.docx", "A 16554-2024")</f>
        <v/>
      </c>
      <c r="Y15">
        <f>HYPERLINK("https://klasma.github.io/Logging_1884/tillsynsmail/A 16554-2024 tillsynsbegäran mail.docx", "A 16554-2024")</f>
        <v/>
      </c>
    </row>
    <row r="16" ht="15" customHeight="1">
      <c r="A16" t="inlineStr">
        <is>
          <t>A 16642-2024</t>
        </is>
      </c>
      <c r="B16" s="1" t="n">
        <v>45408.61318287037</v>
      </c>
      <c r="C16" s="1" t="n">
        <v>45934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16642-2024 artfynd.xlsx", "A 16642-2024")</f>
        <v/>
      </c>
      <c r="T16">
        <f>HYPERLINK("https://klasma.github.io/Logging_1884/kartor/A 16642-2024 karta.png", "A 16642-2024")</f>
        <v/>
      </c>
      <c r="V16">
        <f>HYPERLINK("https://klasma.github.io/Logging_1884/klagomål/A 16642-2024 FSC-klagomål.docx", "A 16642-2024")</f>
        <v/>
      </c>
      <c r="W16">
        <f>HYPERLINK("https://klasma.github.io/Logging_1884/klagomålsmail/A 16642-2024 FSC-klagomål mail.docx", "A 16642-2024")</f>
        <v/>
      </c>
      <c r="X16">
        <f>HYPERLINK("https://klasma.github.io/Logging_1884/tillsyn/A 16642-2024 tillsynsbegäran.docx", "A 16642-2024")</f>
        <v/>
      </c>
      <c r="Y16">
        <f>HYPERLINK("https://klasma.github.io/Logging_1884/tillsynsmail/A 16642-2024 tillsynsbegäran mail.docx", "A 16642-2024")</f>
        <v/>
      </c>
    </row>
    <row r="17" ht="15" customHeight="1">
      <c r="A17" t="inlineStr">
        <is>
          <t>A 1520-2025</t>
        </is>
      </c>
      <c r="B17" s="1" t="n">
        <v>45670</v>
      </c>
      <c r="C17" s="1" t="n">
        <v>45934</v>
      </c>
      <c r="D17" t="inlineStr">
        <is>
          <t>ÖREBRO LÄN</t>
        </is>
      </c>
      <c r="E17" t="inlineStr">
        <is>
          <t>NORA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HYPERLINK("https://klasma.github.io/Logging_1884/artfynd/A 1520-2025 artfynd.xlsx", "A 1520-2025")</f>
        <v/>
      </c>
      <c r="T17">
        <f>HYPERLINK("https://klasma.github.io/Logging_1884/kartor/A 1520-2025 karta.png", "A 1520-2025")</f>
        <v/>
      </c>
      <c r="V17">
        <f>HYPERLINK("https://klasma.github.io/Logging_1884/klagomål/A 1520-2025 FSC-klagomål.docx", "A 1520-2025")</f>
        <v/>
      </c>
      <c r="W17">
        <f>HYPERLINK("https://klasma.github.io/Logging_1884/klagomålsmail/A 1520-2025 FSC-klagomål mail.docx", "A 1520-2025")</f>
        <v/>
      </c>
      <c r="X17">
        <f>HYPERLINK("https://klasma.github.io/Logging_1884/tillsyn/A 1520-2025 tillsynsbegäran.docx", "A 1520-2025")</f>
        <v/>
      </c>
      <c r="Y17">
        <f>HYPERLINK("https://klasma.github.io/Logging_1884/tillsynsmail/A 1520-2025 tillsynsbegäran mail.docx", "A 1520-2025")</f>
        <v/>
      </c>
    </row>
    <row r="18" ht="15" customHeight="1">
      <c r="A18" t="inlineStr">
        <is>
          <t>A 14312-2025</t>
        </is>
      </c>
      <c r="B18" s="1" t="n">
        <v>45740.71707175926</v>
      </c>
      <c r="C18" s="1" t="n">
        <v>45934</v>
      </c>
      <c r="D18" t="inlineStr">
        <is>
          <t>ÖREBRO LÄN</t>
        </is>
      </c>
      <c r="E18" t="inlineStr">
        <is>
          <t>NORA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HYPERLINK("https://klasma.github.io/Logging_1884/artfynd/A 14312-2025 artfynd.xlsx", "A 14312-2025")</f>
        <v/>
      </c>
      <c r="T18">
        <f>HYPERLINK("https://klasma.github.io/Logging_1884/kartor/A 14312-2025 karta.png", "A 14312-2025")</f>
        <v/>
      </c>
      <c r="V18">
        <f>HYPERLINK("https://klasma.github.io/Logging_1884/klagomål/A 14312-2025 FSC-klagomål.docx", "A 14312-2025")</f>
        <v/>
      </c>
      <c r="W18">
        <f>HYPERLINK("https://klasma.github.io/Logging_1884/klagomålsmail/A 14312-2025 FSC-klagomål mail.docx", "A 14312-2025")</f>
        <v/>
      </c>
      <c r="X18">
        <f>HYPERLINK("https://klasma.github.io/Logging_1884/tillsyn/A 14312-2025 tillsynsbegäran.docx", "A 14312-2025")</f>
        <v/>
      </c>
      <c r="Y18">
        <f>HYPERLINK("https://klasma.github.io/Logging_1884/tillsynsmail/A 14312-2025 tillsynsbegäran mail.docx", "A 14312-2025")</f>
        <v/>
      </c>
      <c r="Z18">
        <f>HYPERLINK("https://klasma.github.io/Logging_1884/fåglar/A 14312-2025 prioriterade fågelarter.docx", "A 14312-2025")</f>
        <v/>
      </c>
    </row>
    <row r="19" ht="15" customHeight="1">
      <c r="A19" t="inlineStr">
        <is>
          <t>A 20659-2025</t>
        </is>
      </c>
      <c r="B19" s="1" t="n">
        <v>45776.41106481481</v>
      </c>
      <c r="C19" s="1" t="n">
        <v>45934</v>
      </c>
      <c r="D19" t="inlineStr">
        <is>
          <t>ÖREBRO LÄN</t>
        </is>
      </c>
      <c r="E19" t="inlineStr">
        <is>
          <t>NORA</t>
        </is>
      </c>
      <c r="G19" t="n">
        <v>11.1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20659-2025 artfynd.xlsx", "A 20659-2025")</f>
        <v/>
      </c>
      <c r="T19">
        <f>HYPERLINK("https://klasma.github.io/Logging_1884/kartor/A 20659-2025 karta.png", "A 20659-2025")</f>
        <v/>
      </c>
      <c r="V19">
        <f>HYPERLINK("https://klasma.github.io/Logging_1884/klagomål/A 20659-2025 FSC-klagomål.docx", "A 20659-2025")</f>
        <v/>
      </c>
      <c r="W19">
        <f>HYPERLINK("https://klasma.github.io/Logging_1884/klagomålsmail/A 20659-2025 FSC-klagomål mail.docx", "A 20659-2025")</f>
        <v/>
      </c>
      <c r="X19">
        <f>HYPERLINK("https://klasma.github.io/Logging_1884/tillsyn/A 20659-2025 tillsynsbegäran.docx", "A 20659-2025")</f>
        <v/>
      </c>
      <c r="Y19">
        <f>HYPERLINK("https://klasma.github.io/Logging_1884/tillsynsmail/A 20659-2025 tillsynsbegäran mail.docx", "A 20659-2025")</f>
        <v/>
      </c>
    </row>
    <row r="20" ht="15" customHeight="1">
      <c r="A20" t="inlineStr">
        <is>
          <t>A 15327-2024</t>
        </is>
      </c>
      <c r="B20" s="1" t="n">
        <v>45400.68243055556</v>
      </c>
      <c r="C20" s="1" t="n">
        <v>45934</v>
      </c>
      <c r="D20" t="inlineStr">
        <is>
          <t>ÖREBRO LÄN</t>
        </is>
      </c>
      <c r="E20" t="inlineStr">
        <is>
          <t>NORA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Violettgrå tagellav</t>
        </is>
      </c>
      <c r="S20">
        <f>HYPERLINK("https://klasma.github.io/Logging_1884/artfynd/A 15327-2024 artfynd.xlsx", "A 15327-2024")</f>
        <v/>
      </c>
      <c r="T20">
        <f>HYPERLINK("https://klasma.github.io/Logging_1884/kartor/A 15327-2024 karta.png", "A 15327-2024")</f>
        <v/>
      </c>
      <c r="V20">
        <f>HYPERLINK("https://klasma.github.io/Logging_1884/klagomål/A 15327-2024 FSC-klagomål.docx", "A 15327-2024")</f>
        <v/>
      </c>
      <c r="W20">
        <f>HYPERLINK("https://klasma.github.io/Logging_1884/klagomålsmail/A 15327-2024 FSC-klagomål mail.docx", "A 15327-2024")</f>
        <v/>
      </c>
      <c r="X20">
        <f>HYPERLINK("https://klasma.github.io/Logging_1884/tillsyn/A 15327-2024 tillsynsbegäran.docx", "A 15327-2024")</f>
        <v/>
      </c>
      <c r="Y20">
        <f>HYPERLINK("https://klasma.github.io/Logging_1884/tillsynsmail/A 15327-2024 tillsynsbegäran mail.docx", "A 15327-2024")</f>
        <v/>
      </c>
    </row>
    <row r="21" ht="15" customHeight="1">
      <c r="A21" t="inlineStr">
        <is>
          <t>A 26658-2025</t>
        </is>
      </c>
      <c r="B21" s="1" t="n">
        <v>45810.39315972223</v>
      </c>
      <c r="C21" s="1" t="n">
        <v>45934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26658-2025 artfynd.xlsx", "A 26658-2025")</f>
        <v/>
      </c>
      <c r="T21">
        <f>HYPERLINK("https://klasma.github.io/Logging_1884/kartor/A 26658-2025 karta.png", "A 26658-2025")</f>
        <v/>
      </c>
      <c r="V21">
        <f>HYPERLINK("https://klasma.github.io/Logging_1884/klagomål/A 26658-2025 FSC-klagomål.docx", "A 26658-2025")</f>
        <v/>
      </c>
      <c r="W21">
        <f>HYPERLINK("https://klasma.github.io/Logging_1884/klagomålsmail/A 26658-2025 FSC-klagomål mail.docx", "A 26658-2025")</f>
        <v/>
      </c>
      <c r="X21">
        <f>HYPERLINK("https://klasma.github.io/Logging_1884/tillsyn/A 26658-2025 tillsynsbegäran.docx", "A 26658-2025")</f>
        <v/>
      </c>
      <c r="Y21">
        <f>HYPERLINK("https://klasma.github.io/Logging_1884/tillsynsmail/A 26658-2025 tillsynsbegäran mail.docx", "A 26658-2025")</f>
        <v/>
      </c>
    </row>
    <row r="22" ht="15" customHeight="1">
      <c r="A22" t="inlineStr">
        <is>
          <t>A 26659-2025</t>
        </is>
      </c>
      <c r="B22" s="1" t="n">
        <v>45810.39408564815</v>
      </c>
      <c r="C22" s="1" t="n">
        <v>45934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26659-2025 artfynd.xlsx", "A 26659-2025")</f>
        <v/>
      </c>
      <c r="T22">
        <f>HYPERLINK("https://klasma.github.io/Logging_1884/kartor/A 26659-2025 karta.png", "A 26659-2025")</f>
        <v/>
      </c>
      <c r="V22">
        <f>HYPERLINK("https://klasma.github.io/Logging_1884/klagomål/A 26659-2025 FSC-klagomål.docx", "A 26659-2025")</f>
        <v/>
      </c>
      <c r="W22">
        <f>HYPERLINK("https://klasma.github.io/Logging_1884/klagomålsmail/A 26659-2025 FSC-klagomål mail.docx", "A 26659-2025")</f>
        <v/>
      </c>
      <c r="X22">
        <f>HYPERLINK("https://klasma.github.io/Logging_1884/tillsyn/A 26659-2025 tillsynsbegäran.docx", "A 26659-2025")</f>
        <v/>
      </c>
      <c r="Y22">
        <f>HYPERLINK("https://klasma.github.io/Logging_1884/tillsynsmail/A 26659-2025 tillsynsbegäran mail.docx", "A 26659-2025")</f>
        <v/>
      </c>
    </row>
    <row r="23" ht="15" customHeight="1">
      <c r="A23" t="inlineStr">
        <is>
          <t>A 32498-2025</t>
        </is>
      </c>
      <c r="B23" s="1" t="n">
        <v>45838.4570949074</v>
      </c>
      <c r="C23" s="1" t="n">
        <v>45934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32498-2025 artfynd.xlsx", "A 32498-2025")</f>
        <v/>
      </c>
      <c r="T23">
        <f>HYPERLINK("https://klasma.github.io/Logging_1884/kartor/A 32498-2025 karta.png", "A 32498-2025")</f>
        <v/>
      </c>
      <c r="V23">
        <f>HYPERLINK("https://klasma.github.io/Logging_1884/klagomål/A 32498-2025 FSC-klagomål.docx", "A 32498-2025")</f>
        <v/>
      </c>
      <c r="W23">
        <f>HYPERLINK("https://klasma.github.io/Logging_1884/klagomålsmail/A 32498-2025 FSC-klagomål mail.docx", "A 32498-2025")</f>
        <v/>
      </c>
      <c r="X23">
        <f>HYPERLINK("https://klasma.github.io/Logging_1884/tillsyn/A 32498-2025 tillsynsbegäran.docx", "A 32498-2025")</f>
        <v/>
      </c>
      <c r="Y23">
        <f>HYPERLINK("https://klasma.github.io/Logging_1884/tillsynsmail/A 32498-2025 tillsynsbegäran mail.docx", "A 32498-2025")</f>
        <v/>
      </c>
    </row>
    <row r="24" ht="15" customHeight="1">
      <c r="A24" t="inlineStr">
        <is>
          <t>A 34826-2025</t>
        </is>
      </c>
      <c r="B24" s="1" t="n">
        <v>45849.38326388889</v>
      </c>
      <c r="C24" s="1" t="n">
        <v>45934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34826-2025 artfynd.xlsx", "A 34826-2025")</f>
        <v/>
      </c>
      <c r="T24">
        <f>HYPERLINK("https://klasma.github.io/Logging_1884/kartor/A 34826-2025 karta.png", "A 34826-2025")</f>
        <v/>
      </c>
      <c r="V24">
        <f>HYPERLINK("https://klasma.github.io/Logging_1884/klagomål/A 34826-2025 FSC-klagomål.docx", "A 34826-2025")</f>
        <v/>
      </c>
      <c r="W24">
        <f>HYPERLINK("https://klasma.github.io/Logging_1884/klagomålsmail/A 34826-2025 FSC-klagomål mail.docx", "A 34826-2025")</f>
        <v/>
      </c>
      <c r="X24">
        <f>HYPERLINK("https://klasma.github.io/Logging_1884/tillsyn/A 34826-2025 tillsynsbegäran.docx", "A 34826-2025")</f>
        <v/>
      </c>
      <c r="Y24">
        <f>HYPERLINK("https://klasma.github.io/Logging_1884/tillsynsmail/A 34826-2025 tillsynsbegäran mail.docx", "A 34826-2025")</f>
        <v/>
      </c>
    </row>
    <row r="25" ht="15" customHeight="1">
      <c r="A25" t="inlineStr">
        <is>
          <t>A 52639-2023</t>
        </is>
      </c>
      <c r="B25" s="1" t="n">
        <v>45219</v>
      </c>
      <c r="C25" s="1" t="n">
        <v>45934</v>
      </c>
      <c r="D25" t="inlineStr">
        <is>
          <t>ÖREBRO LÄN</t>
        </is>
      </c>
      <c r="E25" t="inlineStr">
        <is>
          <t>NORA</t>
        </is>
      </c>
      <c r="F25" t="inlineStr">
        <is>
          <t>Kommuner</t>
        </is>
      </c>
      <c r="G25" t="n">
        <v>7.3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HYPERLINK("https://klasma.github.io/Logging_1884/artfynd/A 52639-2023 artfynd.xlsx", "A 52639-2023")</f>
        <v/>
      </c>
      <c r="T25">
        <f>HYPERLINK("https://klasma.github.io/Logging_1884/kartor/A 52639-2023 karta.png", "A 52639-2023")</f>
        <v/>
      </c>
      <c r="V25">
        <f>HYPERLINK("https://klasma.github.io/Logging_1884/klagomål/A 52639-2023 FSC-klagomål.docx", "A 52639-2023")</f>
        <v/>
      </c>
      <c r="W25">
        <f>HYPERLINK("https://klasma.github.io/Logging_1884/klagomålsmail/A 52639-2023 FSC-klagomål mail.docx", "A 52639-2023")</f>
        <v/>
      </c>
      <c r="X25">
        <f>HYPERLINK("https://klasma.github.io/Logging_1884/tillsyn/A 52639-2023 tillsynsbegäran.docx", "A 52639-2023")</f>
        <v/>
      </c>
      <c r="Y25">
        <f>HYPERLINK("https://klasma.github.io/Logging_1884/tillsynsmail/A 52639-2023 tillsynsbegäran mail.docx", "A 52639-2023")</f>
        <v/>
      </c>
      <c r="Z25">
        <f>HYPERLINK("https://klasma.github.io/Logging_1884/fåglar/A 52639-2023 prioriterade fågelarter.docx", "A 52639-2023")</f>
        <v/>
      </c>
    </row>
    <row r="26" ht="15" customHeight="1">
      <c r="A26" t="inlineStr">
        <is>
          <t>A 16063-2023</t>
        </is>
      </c>
      <c r="B26" s="1" t="n">
        <v>45027</v>
      </c>
      <c r="C26" s="1" t="n">
        <v>45934</v>
      </c>
      <c r="D26" t="inlineStr">
        <is>
          <t>ÖREBRO LÄN</t>
        </is>
      </c>
      <c r="E26" t="inlineStr">
        <is>
          <t>NORA</t>
        </is>
      </c>
      <c r="G26" t="n">
        <v>7.3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HYPERLINK("https://klasma.github.io/Logging_1884/artfynd/A 16063-2023 artfynd.xlsx", "A 16063-2023")</f>
        <v/>
      </c>
      <c r="T26">
        <f>HYPERLINK("https://klasma.github.io/Logging_1884/kartor/A 16063-2023 karta.png", "A 16063-2023")</f>
        <v/>
      </c>
      <c r="V26">
        <f>HYPERLINK("https://klasma.github.io/Logging_1884/klagomål/A 16063-2023 FSC-klagomål.docx", "A 16063-2023")</f>
        <v/>
      </c>
      <c r="W26">
        <f>HYPERLINK("https://klasma.github.io/Logging_1884/klagomålsmail/A 16063-2023 FSC-klagomål mail.docx", "A 16063-2023")</f>
        <v/>
      </c>
      <c r="X26">
        <f>HYPERLINK("https://klasma.github.io/Logging_1884/tillsyn/A 16063-2023 tillsynsbegäran.docx", "A 16063-2023")</f>
        <v/>
      </c>
      <c r="Y26">
        <f>HYPERLINK("https://klasma.github.io/Logging_1884/tillsynsmail/A 16063-2023 tillsynsbegäran mail.docx", "A 16063-2023")</f>
        <v/>
      </c>
    </row>
    <row r="27" ht="15" customHeight="1">
      <c r="A27" t="inlineStr">
        <is>
          <t>A 42036-2025</t>
        </is>
      </c>
      <c r="B27" s="1" t="n">
        <v>45903.61173611111</v>
      </c>
      <c r="C27" s="1" t="n">
        <v>45934</v>
      </c>
      <c r="D27" t="inlineStr">
        <is>
          <t>ÖREBRO LÄN</t>
        </is>
      </c>
      <c r="E27" t="inlineStr">
        <is>
          <t>NORA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HYPERLINK("https://klasma.github.io/Logging_1884/artfynd/A 42036-2025 artfynd.xlsx", "A 42036-2025")</f>
        <v/>
      </c>
      <c r="T27">
        <f>HYPERLINK("https://klasma.github.io/Logging_1884/kartor/A 42036-2025 karta.png", "A 42036-2025")</f>
        <v/>
      </c>
      <c r="V27">
        <f>HYPERLINK("https://klasma.github.io/Logging_1884/klagomål/A 42036-2025 FSC-klagomål.docx", "A 42036-2025")</f>
        <v/>
      </c>
      <c r="W27">
        <f>HYPERLINK("https://klasma.github.io/Logging_1884/klagomålsmail/A 42036-2025 FSC-klagomål mail.docx", "A 42036-2025")</f>
        <v/>
      </c>
      <c r="X27">
        <f>HYPERLINK("https://klasma.github.io/Logging_1884/tillsyn/A 42036-2025 tillsynsbegäran.docx", "A 42036-2025")</f>
        <v/>
      </c>
      <c r="Y27">
        <f>HYPERLINK("https://klasma.github.io/Logging_1884/tillsynsmail/A 42036-2025 tillsynsbegäran mail.docx", "A 42036-2025")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45934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45934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14306-2025</t>
        </is>
      </c>
      <c r="B30" s="1" t="n">
        <v>45740.70622685185</v>
      </c>
      <c r="C30" s="1" t="n">
        <v>45934</v>
      </c>
      <c r="D30" t="inlineStr">
        <is>
          <t>ÖREBRO LÄN</t>
        </is>
      </c>
      <c r="E30" t="inlineStr">
        <is>
          <t>NORA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14306-2025 artfynd.xlsx", "A 14306-2025")</f>
        <v/>
      </c>
      <c r="T30">
        <f>HYPERLINK("https://klasma.github.io/Logging_1884/kartor/A 14306-2025 karta.png", "A 14306-2025")</f>
        <v/>
      </c>
      <c r="V30">
        <f>HYPERLINK("https://klasma.github.io/Logging_1884/klagomål/A 14306-2025 FSC-klagomål.docx", "A 14306-2025")</f>
        <v/>
      </c>
      <c r="W30">
        <f>HYPERLINK("https://klasma.github.io/Logging_1884/klagomålsmail/A 14306-2025 FSC-klagomål mail.docx", "A 14306-2025")</f>
        <v/>
      </c>
      <c r="X30">
        <f>HYPERLINK("https://klasma.github.io/Logging_1884/tillsyn/A 14306-2025 tillsynsbegäran.docx", "A 14306-2025")</f>
        <v/>
      </c>
      <c r="Y30">
        <f>HYPERLINK("https://klasma.github.io/Logging_1884/tillsynsmail/A 14306-2025 tillsynsbegäran mail.docx", "A 14306-2025")</f>
        <v/>
      </c>
      <c r="Z30">
        <f>HYPERLINK("https://klasma.github.io/Logging_1884/fåglar/A 14306-2025 prioriterade fågelarter.docx", "A 14306-2025")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45934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55870-2020</t>
        </is>
      </c>
      <c r="B32" s="1" t="n">
        <v>44132</v>
      </c>
      <c r="C32" s="1" t="n">
        <v>45934</v>
      </c>
      <c r="D32" t="inlineStr">
        <is>
          <t>ÖREBRO LÄN</t>
        </is>
      </c>
      <c r="E32" t="inlineStr">
        <is>
          <t>NORA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2304-2021</t>
        </is>
      </c>
      <c r="B33" s="1" t="n">
        <v>44213.74575231481</v>
      </c>
      <c r="C33" s="1" t="n">
        <v>45934</v>
      </c>
      <c r="D33" t="inlineStr">
        <is>
          <t>ÖREBRO LÄN</t>
        </is>
      </c>
      <c r="E33" t="inlineStr">
        <is>
          <t>NORA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67298-2021</t>
        </is>
      </c>
      <c r="B34" s="1" t="n">
        <v>44523</v>
      </c>
      <c r="C34" s="1" t="n">
        <v>45934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29839-2021</t>
        </is>
      </c>
      <c r="B35" s="1" t="n">
        <v>44362</v>
      </c>
      <c r="C35" s="1" t="n">
        <v>45934</v>
      </c>
      <c r="D35" t="inlineStr">
        <is>
          <t>ÖREBRO LÄN</t>
        </is>
      </c>
      <c r="E35" t="inlineStr">
        <is>
          <t>NORA</t>
        </is>
      </c>
      <c r="F35" t="inlineStr">
        <is>
          <t>Övriga Aktiebolag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40338-2021</t>
        </is>
      </c>
      <c r="B36" s="1" t="n">
        <v>44419</v>
      </c>
      <c r="C36" s="1" t="n">
        <v>45934</v>
      </c>
      <c r="D36" t="inlineStr">
        <is>
          <t>ÖREBRO LÄN</t>
        </is>
      </c>
      <c r="E36" t="inlineStr">
        <is>
          <t>NORA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49633-2022</t>
        </is>
      </c>
      <c r="B37" s="1" t="n">
        <v>44862.43092592592</v>
      </c>
      <c r="C37" s="1" t="n">
        <v>45934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35673-2022</t>
        </is>
      </c>
      <c r="B38" s="1" t="n">
        <v>44799.59944444444</v>
      </c>
      <c r="C38" s="1" t="n">
        <v>45934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39709-2022</t>
        </is>
      </c>
      <c r="B39" s="1" t="n">
        <v>44818.95434027778</v>
      </c>
      <c r="C39" s="1" t="n">
        <v>45934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74451-2021</t>
        </is>
      </c>
      <c r="B40" s="1" t="n">
        <v>44560</v>
      </c>
      <c r="C40" s="1" t="n">
        <v>45934</v>
      </c>
      <c r="D40" t="inlineStr">
        <is>
          <t>ÖREBRO LÄN</t>
        </is>
      </c>
      <c r="E40" t="inlineStr">
        <is>
          <t>NORA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68890-2021</t>
        </is>
      </c>
      <c r="B41" s="1" t="n">
        <v>44530</v>
      </c>
      <c r="C41" s="1" t="n">
        <v>45934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64933-2020</t>
        </is>
      </c>
      <c r="B42" s="1" t="n">
        <v>44172</v>
      </c>
      <c r="C42" s="1" t="n">
        <v>45934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30422-2022</t>
        </is>
      </c>
      <c r="B43" s="1" t="n">
        <v>44761</v>
      </c>
      <c r="C43" s="1" t="n">
        <v>45934</v>
      </c>
      <c r="D43" t="inlineStr">
        <is>
          <t>ÖREBRO LÄN</t>
        </is>
      </c>
      <c r="E43" t="inlineStr">
        <is>
          <t>NORA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65510-2020</t>
        </is>
      </c>
      <c r="B44" s="1" t="n">
        <v>44173</v>
      </c>
      <c r="C44" s="1" t="n">
        <v>45934</v>
      </c>
      <c r="D44" t="inlineStr">
        <is>
          <t>ÖREBRO LÄN</t>
        </is>
      </c>
      <c r="E44" t="inlineStr">
        <is>
          <t>NORA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50309-2020</t>
        </is>
      </c>
      <c r="B45" s="1" t="n">
        <v>44110.34436342592</v>
      </c>
      <c r="C45" s="1" t="n">
        <v>45934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35870-2022</t>
        </is>
      </c>
      <c r="B46" s="1" t="n">
        <v>44802.44491898148</v>
      </c>
      <c r="C46" s="1" t="n">
        <v>45934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47794-2021</t>
        </is>
      </c>
      <c r="B47" s="1" t="n">
        <v>44448</v>
      </c>
      <c r="C47" s="1" t="n">
        <v>45934</v>
      </c>
      <c r="D47" t="inlineStr">
        <is>
          <t>ÖREBRO LÄN</t>
        </is>
      </c>
      <c r="E47" t="inlineStr">
        <is>
          <t>NORA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50588-2020</t>
        </is>
      </c>
      <c r="B48" s="1" t="n">
        <v>44110</v>
      </c>
      <c r="C48" s="1" t="n">
        <v>45934</v>
      </c>
      <c r="D48" t="inlineStr">
        <is>
          <t>ÖREBRO LÄN</t>
        </is>
      </c>
      <c r="E48" t="inlineStr">
        <is>
          <t>NORA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50003-2022</t>
        </is>
      </c>
      <c r="B49" s="1" t="n">
        <v>44865.4325462963</v>
      </c>
      <c r="C49" s="1" t="n">
        <v>45934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42899-2021</t>
        </is>
      </c>
      <c r="B50" s="1" t="n">
        <v>44431.34829861111</v>
      </c>
      <c r="C50" s="1" t="n">
        <v>45934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54502-2020</t>
        </is>
      </c>
      <c r="B51" s="1" t="n">
        <v>44125</v>
      </c>
      <c r="C51" s="1" t="n">
        <v>45934</v>
      </c>
      <c r="D51" t="inlineStr">
        <is>
          <t>ÖREBRO LÄN</t>
        </is>
      </c>
      <c r="E51" t="inlineStr">
        <is>
          <t>NORA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59606-2021</t>
        </is>
      </c>
      <c r="B52" s="1" t="n">
        <v>44491</v>
      </c>
      <c r="C52" s="1" t="n">
        <v>45934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37259-2022</t>
        </is>
      </c>
      <c r="B53" s="1" t="n">
        <v>44807.45756944444</v>
      </c>
      <c r="C53" s="1" t="n">
        <v>45934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37265-2022</t>
        </is>
      </c>
      <c r="B54" s="1" t="n">
        <v>44807.46988425926</v>
      </c>
      <c r="C54" s="1" t="n">
        <v>45934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50208-2022</t>
        </is>
      </c>
      <c r="B55" s="1" t="n">
        <v>44865.6330787037</v>
      </c>
      <c r="C55" s="1" t="n">
        <v>45934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18636-2022</t>
        </is>
      </c>
      <c r="B56" s="1" t="n">
        <v>44687.4733912037</v>
      </c>
      <c r="C56" s="1" t="n">
        <v>45934</v>
      </c>
      <c r="D56" t="inlineStr">
        <is>
          <t>ÖREBRO LÄN</t>
        </is>
      </c>
      <c r="E56" t="inlineStr">
        <is>
          <t>NORA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16326-2021</t>
        </is>
      </c>
      <c r="B57" s="1" t="n">
        <v>44292</v>
      </c>
      <c r="C57" s="1" t="n">
        <v>45934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34193-2022</t>
        </is>
      </c>
      <c r="B58" s="1" t="n">
        <v>44791.63450231482</v>
      </c>
      <c r="C58" s="1" t="n">
        <v>45934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45934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15358-2021</t>
        </is>
      </c>
      <c r="B60" s="1" t="n">
        <v>44284</v>
      </c>
      <c r="C60" s="1" t="n">
        <v>45934</v>
      </c>
      <c r="D60" t="inlineStr">
        <is>
          <t>ÖREBRO LÄN</t>
        </is>
      </c>
      <c r="E60" t="inlineStr">
        <is>
          <t>NORA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48105-2021</t>
        </is>
      </c>
      <c r="B61" s="1" t="n">
        <v>44449</v>
      </c>
      <c r="C61" s="1" t="n">
        <v>45934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26870-2022</t>
        </is>
      </c>
      <c r="B62" s="1" t="n">
        <v>44740.53197916667</v>
      </c>
      <c r="C62" s="1" t="n">
        <v>45934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68610-2021</t>
        </is>
      </c>
      <c r="B63" s="1" t="n">
        <v>44529.56203703704</v>
      </c>
      <c r="C63" s="1" t="n">
        <v>45934</v>
      </c>
      <c r="D63" t="inlineStr">
        <is>
          <t>ÖREBRO LÄN</t>
        </is>
      </c>
      <c r="E63" t="inlineStr">
        <is>
          <t>NORA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40643-2021</t>
        </is>
      </c>
      <c r="B64" s="1" t="n">
        <v>44420</v>
      </c>
      <c r="C64" s="1" t="n">
        <v>45934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67425-2020</t>
        </is>
      </c>
      <c r="B65" s="1" t="n">
        <v>44181</v>
      </c>
      <c r="C65" s="1" t="n">
        <v>45934</v>
      </c>
      <c r="D65" t="inlineStr">
        <is>
          <t>ÖREBRO LÄN</t>
        </is>
      </c>
      <c r="E65" t="inlineStr">
        <is>
          <t>NORA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251-2021</t>
        </is>
      </c>
      <c r="B66" s="1" t="n">
        <v>44200</v>
      </c>
      <c r="C66" s="1" t="n">
        <v>45934</v>
      </c>
      <c r="D66" t="inlineStr">
        <is>
          <t>ÖREBRO LÄN</t>
        </is>
      </c>
      <c r="E66" t="inlineStr">
        <is>
          <t>NORA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27648-2021</t>
        </is>
      </c>
      <c r="B67" s="1" t="n">
        <v>44354.37946759259</v>
      </c>
      <c r="C67" s="1" t="n">
        <v>45934</v>
      </c>
      <c r="D67" t="inlineStr">
        <is>
          <t>ÖREBRO LÄN</t>
        </is>
      </c>
      <c r="E67" t="inlineStr">
        <is>
          <t>NORA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22650-2022</t>
        </is>
      </c>
      <c r="B68" s="1" t="n">
        <v>44714</v>
      </c>
      <c r="C68" s="1" t="n">
        <v>45934</v>
      </c>
      <c r="D68" t="inlineStr">
        <is>
          <t>ÖREBRO LÄN</t>
        </is>
      </c>
      <c r="E68" t="inlineStr">
        <is>
          <t>NORA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5039-2022</t>
        </is>
      </c>
      <c r="B69" s="1" t="n">
        <v>44593</v>
      </c>
      <c r="C69" s="1" t="n">
        <v>45934</v>
      </c>
      <c r="D69" t="inlineStr">
        <is>
          <t>ÖREBRO LÄN</t>
        </is>
      </c>
      <c r="E69" t="inlineStr">
        <is>
          <t>NORA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49135-2021</t>
        </is>
      </c>
      <c r="B70" s="1" t="n">
        <v>44453</v>
      </c>
      <c r="C70" s="1" t="n">
        <v>45934</v>
      </c>
      <c r="D70" t="inlineStr">
        <is>
          <t>ÖREBRO LÄN</t>
        </is>
      </c>
      <c r="E70" t="inlineStr">
        <is>
          <t>NORA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21695-2022</t>
        </is>
      </c>
      <c r="B71" s="1" t="n">
        <v>44707.88415509259</v>
      </c>
      <c r="C71" s="1" t="n">
        <v>45934</v>
      </c>
      <c r="D71" t="inlineStr">
        <is>
          <t>ÖREBRO LÄN</t>
        </is>
      </c>
      <c r="E71" t="inlineStr">
        <is>
          <t>NORA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19166-2021</t>
        </is>
      </c>
      <c r="B72" s="1" t="n">
        <v>44308</v>
      </c>
      <c r="C72" s="1" t="n">
        <v>45934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26314-2022</t>
        </is>
      </c>
      <c r="B73" s="1" t="n">
        <v>44735.59861111111</v>
      </c>
      <c r="C73" s="1" t="n">
        <v>45934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50720-2020</t>
        </is>
      </c>
      <c r="B74" s="1" t="n">
        <v>44111</v>
      </c>
      <c r="C74" s="1" t="n">
        <v>45934</v>
      </c>
      <c r="D74" t="inlineStr">
        <is>
          <t>ÖREBRO LÄN</t>
        </is>
      </c>
      <c r="E74" t="inlineStr">
        <is>
          <t>NORA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62592-2021</t>
        </is>
      </c>
      <c r="B75" s="1" t="n">
        <v>44503</v>
      </c>
      <c r="C75" s="1" t="n">
        <v>45934</v>
      </c>
      <c r="D75" t="inlineStr">
        <is>
          <t>ÖREBRO LÄN</t>
        </is>
      </c>
      <c r="E75" t="inlineStr">
        <is>
          <t>NORA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55867-2021</t>
        </is>
      </c>
      <c r="B76" s="1" t="n">
        <v>44476</v>
      </c>
      <c r="C76" s="1" t="n">
        <v>45934</v>
      </c>
      <c r="D76" t="inlineStr">
        <is>
          <t>ÖREBRO LÄN</t>
        </is>
      </c>
      <c r="E76" t="inlineStr">
        <is>
          <t>NORA</t>
        </is>
      </c>
      <c r="F76" t="inlineStr">
        <is>
          <t>Kyrkan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20565-2025</t>
        </is>
      </c>
      <c r="B77" s="1" t="n">
        <v>45775.66307870371</v>
      </c>
      <c r="C77" s="1" t="n">
        <v>45934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49634-2022</t>
        </is>
      </c>
      <c r="B78" s="1" t="n">
        <v>44862.43146990741</v>
      </c>
      <c r="C78" s="1" t="n">
        <v>45934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49635-2022</t>
        </is>
      </c>
      <c r="B79" s="1" t="n">
        <v>44862.43199074074</v>
      </c>
      <c r="C79" s="1" t="n">
        <v>45934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68887-2021</t>
        </is>
      </c>
      <c r="B80" s="1" t="n">
        <v>44530</v>
      </c>
      <c r="C80" s="1" t="n">
        <v>45934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42743-2021</t>
        </is>
      </c>
      <c r="B81" s="1" t="n">
        <v>44428.61717592592</v>
      </c>
      <c r="C81" s="1" t="n">
        <v>45934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37266-2022</t>
        </is>
      </c>
      <c r="B82" s="1" t="n">
        <v>44807.47078703704</v>
      </c>
      <c r="C82" s="1" t="n">
        <v>45934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35605-2021</t>
        </is>
      </c>
      <c r="B83" s="1" t="n">
        <v>44386.37886574074</v>
      </c>
      <c r="C83" s="1" t="n">
        <v>45934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57438-2020</t>
        </is>
      </c>
      <c r="B84" s="1" t="n">
        <v>44139</v>
      </c>
      <c r="C84" s="1" t="n">
        <v>45934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44850-2022</t>
        </is>
      </c>
      <c r="B85" s="1" t="n">
        <v>44841</v>
      </c>
      <c r="C85" s="1" t="n">
        <v>45934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53129-2023</t>
        </is>
      </c>
      <c r="B86" s="1" t="n">
        <v>45229</v>
      </c>
      <c r="C86" s="1" t="n">
        <v>45934</v>
      </c>
      <c r="D86" t="inlineStr">
        <is>
          <t>ÖREBRO LÄN</t>
        </is>
      </c>
      <c r="E86" t="inlineStr">
        <is>
          <t>NORA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46688-2023</t>
        </is>
      </c>
      <c r="B87" s="1" t="n">
        <v>45198.51881944444</v>
      </c>
      <c r="C87" s="1" t="n">
        <v>45934</v>
      </c>
      <c r="D87" t="inlineStr">
        <is>
          <t>ÖREBRO LÄN</t>
        </is>
      </c>
      <c r="E87" t="inlineStr">
        <is>
          <t>NORA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47788-2021</t>
        </is>
      </c>
      <c r="B88" s="1" t="n">
        <v>44448</v>
      </c>
      <c r="C88" s="1" t="n">
        <v>45934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12646-2024</t>
        </is>
      </c>
      <c r="B89" s="1" t="n">
        <v>45384.34563657407</v>
      </c>
      <c r="C89" s="1" t="n">
        <v>45934</v>
      </c>
      <c r="D89" t="inlineStr">
        <is>
          <t>ÖREBRO LÄN</t>
        </is>
      </c>
      <c r="E89" t="inlineStr">
        <is>
          <t>NORA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35730-2022</t>
        </is>
      </c>
      <c r="B90" s="1" t="n">
        <v>44799</v>
      </c>
      <c r="C90" s="1" t="n">
        <v>45934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35731-2022</t>
        </is>
      </c>
      <c r="B91" s="1" t="n">
        <v>44799.73486111111</v>
      </c>
      <c r="C91" s="1" t="n">
        <v>45934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12815-2024</t>
        </is>
      </c>
      <c r="B92" s="1" t="n">
        <v>45384.66650462963</v>
      </c>
      <c r="C92" s="1" t="n">
        <v>45934</v>
      </c>
      <c r="D92" t="inlineStr">
        <is>
          <t>ÖREBRO LÄN</t>
        </is>
      </c>
      <c r="E92" t="inlineStr">
        <is>
          <t>NORA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62217-2023</t>
        </is>
      </c>
      <c r="B93" s="1" t="n">
        <v>45267.51355324074</v>
      </c>
      <c r="C93" s="1" t="n">
        <v>45934</v>
      </c>
      <c r="D93" t="inlineStr">
        <is>
          <t>ÖREBRO LÄN</t>
        </is>
      </c>
      <c r="E93" t="inlineStr">
        <is>
          <t>NORA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4910-2023</t>
        </is>
      </c>
      <c r="B94" s="1" t="n">
        <v>44958.38488425926</v>
      </c>
      <c r="C94" s="1" t="n">
        <v>45934</v>
      </c>
      <c r="D94" t="inlineStr">
        <is>
          <t>ÖREBRO LÄN</t>
        </is>
      </c>
      <c r="E94" t="inlineStr">
        <is>
          <t>NORA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8589-2022</t>
        </is>
      </c>
      <c r="B95" s="1" t="n">
        <v>44613.55984953704</v>
      </c>
      <c r="C95" s="1" t="n">
        <v>45934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59590-2021</t>
        </is>
      </c>
      <c r="B96" s="1" t="n">
        <v>44491</v>
      </c>
      <c r="C96" s="1" t="n">
        <v>45934</v>
      </c>
      <c r="D96" t="inlineStr">
        <is>
          <t>ÖREBRO LÄN</t>
        </is>
      </c>
      <c r="E96" t="inlineStr">
        <is>
          <t>NORA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34164-2022</t>
        </is>
      </c>
      <c r="B97" s="1" t="n">
        <v>44791.58640046296</v>
      </c>
      <c r="C97" s="1" t="n">
        <v>45934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34755-2024</t>
        </is>
      </c>
      <c r="B98" s="1" t="n">
        <v>45526</v>
      </c>
      <c r="C98" s="1" t="n">
        <v>45934</v>
      </c>
      <c r="D98" t="inlineStr">
        <is>
          <t>ÖREBRO LÄN</t>
        </is>
      </c>
      <c r="E98" t="inlineStr">
        <is>
          <t>NORA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24822-2024</t>
        </is>
      </c>
      <c r="B99" s="1" t="n">
        <v>45461.34818287037</v>
      </c>
      <c r="C99" s="1" t="n">
        <v>45934</v>
      </c>
      <c r="D99" t="inlineStr">
        <is>
          <t>ÖREBRO LÄN</t>
        </is>
      </c>
      <c r="E99" t="inlineStr">
        <is>
          <t>NORA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59637-2021</t>
        </is>
      </c>
      <c r="B100" s="1" t="n">
        <v>44493</v>
      </c>
      <c r="C100" s="1" t="n">
        <v>45934</v>
      </c>
      <c r="D100" t="inlineStr">
        <is>
          <t>ÖREBRO LÄN</t>
        </is>
      </c>
      <c r="E100" t="inlineStr">
        <is>
          <t>NORA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45216-2023</t>
        </is>
      </c>
      <c r="B101" s="1" t="n">
        <v>45191</v>
      </c>
      <c r="C101" s="1" t="n">
        <v>45934</v>
      </c>
      <c r="D101" t="inlineStr">
        <is>
          <t>ÖREBRO LÄN</t>
        </is>
      </c>
      <c r="E101" t="inlineStr">
        <is>
          <t>NORA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49498-2024</t>
        </is>
      </c>
      <c r="B102" s="1" t="n">
        <v>45596.3672337963</v>
      </c>
      <c r="C102" s="1" t="n">
        <v>45934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10882-2024</t>
        </is>
      </c>
      <c r="B103" s="1" t="n">
        <v>45370</v>
      </c>
      <c r="C103" s="1" t="n">
        <v>45934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8295-2024</t>
        </is>
      </c>
      <c r="B104" s="1" t="n">
        <v>45352.43674768518</v>
      </c>
      <c r="C104" s="1" t="n">
        <v>45934</v>
      </c>
      <c r="D104" t="inlineStr">
        <is>
          <t>ÖREBRO LÄN</t>
        </is>
      </c>
      <c r="E104" t="inlineStr">
        <is>
          <t>NORA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24832-2024</t>
        </is>
      </c>
      <c r="B105" s="1" t="n">
        <v>45461.38202546296</v>
      </c>
      <c r="C105" s="1" t="n">
        <v>45934</v>
      </c>
      <c r="D105" t="inlineStr">
        <is>
          <t>ÖREBRO LÄN</t>
        </is>
      </c>
      <c r="E105" t="inlineStr">
        <is>
          <t>NORA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5674-2023</t>
        </is>
      </c>
      <c r="B106" s="1" t="n">
        <v>44960.66104166667</v>
      </c>
      <c r="C106" s="1" t="n">
        <v>45934</v>
      </c>
      <c r="D106" t="inlineStr">
        <is>
          <t>ÖREBRO LÄN</t>
        </is>
      </c>
      <c r="E106" t="inlineStr">
        <is>
          <t>NORA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46544-2021</t>
        </is>
      </c>
      <c r="B107" s="1" t="n">
        <v>44445</v>
      </c>
      <c r="C107" s="1" t="n">
        <v>45934</v>
      </c>
      <c r="D107" t="inlineStr">
        <is>
          <t>ÖREBRO LÄN</t>
        </is>
      </c>
      <c r="E107" t="inlineStr">
        <is>
          <t>NORA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70200-2021</t>
        </is>
      </c>
      <c r="B108" s="1" t="n">
        <v>44534.82171296296</v>
      </c>
      <c r="C108" s="1" t="n">
        <v>45934</v>
      </c>
      <c r="D108" t="inlineStr">
        <is>
          <t>ÖREBRO LÄN</t>
        </is>
      </c>
      <c r="E108" t="inlineStr">
        <is>
          <t>NORA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22389-2023</t>
        </is>
      </c>
      <c r="B109" s="1" t="n">
        <v>45070</v>
      </c>
      <c r="C109" s="1" t="n">
        <v>45934</v>
      </c>
      <c r="D109" t="inlineStr">
        <is>
          <t>ÖREBRO LÄN</t>
        </is>
      </c>
      <c r="E109" t="inlineStr">
        <is>
          <t>NORA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35656-2024</t>
        </is>
      </c>
      <c r="B110" s="1" t="n">
        <v>45532</v>
      </c>
      <c r="C110" s="1" t="n">
        <v>45934</v>
      </c>
      <c r="D110" t="inlineStr">
        <is>
          <t>ÖREBRO LÄN</t>
        </is>
      </c>
      <c r="E110" t="inlineStr">
        <is>
          <t>NORA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61952-2023</t>
        </is>
      </c>
      <c r="B111" s="1" t="n">
        <v>45266.56415509259</v>
      </c>
      <c r="C111" s="1" t="n">
        <v>45934</v>
      </c>
      <c r="D111" t="inlineStr">
        <is>
          <t>ÖREBRO LÄN</t>
        </is>
      </c>
      <c r="E111" t="inlineStr">
        <is>
          <t>NORA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45159-2023</t>
        </is>
      </c>
      <c r="B112" s="1" t="n">
        <v>45191.49001157407</v>
      </c>
      <c r="C112" s="1" t="n">
        <v>45934</v>
      </c>
      <c r="D112" t="inlineStr">
        <is>
          <t>ÖREBRO LÄN</t>
        </is>
      </c>
      <c r="E112" t="inlineStr">
        <is>
          <t>NORA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26023-2023</t>
        </is>
      </c>
      <c r="B113" s="1" t="n">
        <v>45091.2925</v>
      </c>
      <c r="C113" s="1" t="n">
        <v>45934</v>
      </c>
      <c r="D113" t="inlineStr">
        <is>
          <t>ÖREBRO LÄN</t>
        </is>
      </c>
      <c r="E113" t="inlineStr">
        <is>
          <t>NORA</t>
        </is>
      </c>
      <c r="F113" t="inlineStr">
        <is>
          <t>Kyrkan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53938-2023</t>
        </is>
      </c>
      <c r="B114" s="1" t="n">
        <v>45231</v>
      </c>
      <c r="C114" s="1" t="n">
        <v>45934</v>
      </c>
      <c r="D114" t="inlineStr">
        <is>
          <t>ÖREBRO LÄN</t>
        </is>
      </c>
      <c r="E114" t="inlineStr">
        <is>
          <t>NORA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37550-2025</t>
        </is>
      </c>
      <c r="B115" s="1" t="n">
        <v>45879.91046296297</v>
      </c>
      <c r="C115" s="1" t="n">
        <v>45934</v>
      </c>
      <c r="D115" t="inlineStr">
        <is>
          <t>ÖREBRO LÄN</t>
        </is>
      </c>
      <c r="E115" t="inlineStr">
        <is>
          <t>NORA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7148-2021</t>
        </is>
      </c>
      <c r="B116" s="1" t="n">
        <v>44238</v>
      </c>
      <c r="C116" s="1" t="n">
        <v>45934</v>
      </c>
      <c r="D116" t="inlineStr">
        <is>
          <t>ÖREBRO LÄN</t>
        </is>
      </c>
      <c r="E116" t="inlineStr">
        <is>
          <t>NORA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11631-2022</t>
        </is>
      </c>
      <c r="B117" s="1" t="n">
        <v>44631</v>
      </c>
      <c r="C117" s="1" t="n">
        <v>45934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58829-2023</t>
        </is>
      </c>
      <c r="B118" s="1" t="n">
        <v>45252</v>
      </c>
      <c r="C118" s="1" t="n">
        <v>45934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3309-2024</t>
        </is>
      </c>
      <c r="B119" s="1" t="n">
        <v>45317</v>
      </c>
      <c r="C119" s="1" t="n">
        <v>45934</v>
      </c>
      <c r="D119" t="inlineStr">
        <is>
          <t>ÖREBRO LÄN</t>
        </is>
      </c>
      <c r="E119" t="inlineStr">
        <is>
          <t>NORA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46198-2023</t>
        </is>
      </c>
      <c r="B120" s="1" t="n">
        <v>45196</v>
      </c>
      <c r="C120" s="1" t="n">
        <v>45934</v>
      </c>
      <c r="D120" t="inlineStr">
        <is>
          <t>ÖREBRO LÄN</t>
        </is>
      </c>
      <c r="E120" t="inlineStr">
        <is>
          <t>NORA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13563-2024</t>
        </is>
      </c>
      <c r="B121" s="1" t="n">
        <v>45388.99935185185</v>
      </c>
      <c r="C121" s="1" t="n">
        <v>45934</v>
      </c>
      <c r="D121" t="inlineStr">
        <is>
          <t>ÖREBRO LÄN</t>
        </is>
      </c>
      <c r="E121" t="inlineStr">
        <is>
          <t>NORA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36064-2023</t>
        </is>
      </c>
      <c r="B122" s="1" t="n">
        <v>45149</v>
      </c>
      <c r="C122" s="1" t="n">
        <v>45934</v>
      </c>
      <c r="D122" t="inlineStr">
        <is>
          <t>ÖREBRO LÄN</t>
        </is>
      </c>
      <c r="E122" t="inlineStr">
        <is>
          <t>NORA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16085-2024</t>
        </is>
      </c>
      <c r="B123" s="1" t="n">
        <v>45406.37230324074</v>
      </c>
      <c r="C123" s="1" t="n">
        <v>45934</v>
      </c>
      <c r="D123" t="inlineStr">
        <is>
          <t>ÖREBRO LÄN</t>
        </is>
      </c>
      <c r="E123" t="inlineStr">
        <is>
          <t>NORA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11864-2025</t>
        </is>
      </c>
      <c r="B124" s="1" t="n">
        <v>45728.41668981482</v>
      </c>
      <c r="C124" s="1" t="n">
        <v>45934</v>
      </c>
      <c r="D124" t="inlineStr">
        <is>
          <t>ÖREBRO LÄN</t>
        </is>
      </c>
      <c r="E124" t="inlineStr">
        <is>
          <t>NORA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43254-2022</t>
        </is>
      </c>
      <c r="B125" s="1" t="n">
        <v>44834</v>
      </c>
      <c r="C125" s="1" t="n">
        <v>45934</v>
      </c>
      <c r="D125" t="inlineStr">
        <is>
          <t>ÖREBRO LÄN</t>
        </is>
      </c>
      <c r="E125" t="inlineStr">
        <is>
          <t>NORA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16529-2024</t>
        </is>
      </c>
      <c r="B126" s="1" t="n">
        <v>45408.42216435185</v>
      </c>
      <c r="C126" s="1" t="n">
        <v>45934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5217-2022</t>
        </is>
      </c>
      <c r="B127" s="1" t="n">
        <v>44593</v>
      </c>
      <c r="C127" s="1" t="n">
        <v>45934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38.4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6181-2021</t>
        </is>
      </c>
      <c r="B128" s="1" t="n">
        <v>44232</v>
      </c>
      <c r="C128" s="1" t="n">
        <v>45934</v>
      </c>
      <c r="D128" t="inlineStr">
        <is>
          <t>ÖREBRO LÄN</t>
        </is>
      </c>
      <c r="E128" t="inlineStr">
        <is>
          <t>NORA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24389-2024</t>
        </is>
      </c>
      <c r="B129" s="1" t="n">
        <v>45457.63585648148</v>
      </c>
      <c r="C129" s="1" t="n">
        <v>45934</v>
      </c>
      <c r="D129" t="inlineStr">
        <is>
          <t>ÖREBRO LÄN</t>
        </is>
      </c>
      <c r="E129" t="inlineStr">
        <is>
          <t>NORA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55766-2024</t>
        </is>
      </c>
      <c r="B130" s="1" t="n">
        <v>45623.37702546296</v>
      </c>
      <c r="C130" s="1" t="n">
        <v>45934</v>
      </c>
      <c r="D130" t="inlineStr">
        <is>
          <t>ÖREBRO LÄN</t>
        </is>
      </c>
      <c r="E130" t="inlineStr">
        <is>
          <t>NORA</t>
        </is>
      </c>
      <c r="G130" t="n">
        <v>18.5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52879-2023</t>
        </is>
      </c>
      <c r="B131" s="1" t="n">
        <v>45226.47349537037</v>
      </c>
      <c r="C131" s="1" t="n">
        <v>45934</v>
      </c>
      <c r="D131" t="inlineStr">
        <is>
          <t>ÖREBRO LÄN</t>
        </is>
      </c>
      <c r="E131" t="inlineStr">
        <is>
          <t>NORA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9457-2025</t>
        </is>
      </c>
      <c r="B132" s="1" t="n">
        <v>45714</v>
      </c>
      <c r="C132" s="1" t="n">
        <v>45934</v>
      </c>
      <c r="D132" t="inlineStr">
        <is>
          <t>ÖREBRO LÄN</t>
        </is>
      </c>
      <c r="E132" t="inlineStr">
        <is>
          <t>NORA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38179-2023</t>
        </is>
      </c>
      <c r="B133" s="1" t="n">
        <v>45161.45337962963</v>
      </c>
      <c r="C133" s="1" t="n">
        <v>45934</v>
      </c>
      <c r="D133" t="inlineStr">
        <is>
          <t>ÖREBRO LÄN</t>
        </is>
      </c>
      <c r="E133" t="inlineStr">
        <is>
          <t>NORA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37849-2023</t>
        </is>
      </c>
      <c r="B134" s="1" t="n">
        <v>45158</v>
      </c>
      <c r="C134" s="1" t="n">
        <v>45934</v>
      </c>
      <c r="D134" t="inlineStr">
        <is>
          <t>ÖREBRO LÄN</t>
        </is>
      </c>
      <c r="E134" t="inlineStr">
        <is>
          <t>NORA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21449-2021</t>
        </is>
      </c>
      <c r="B135" s="1" t="n">
        <v>44321.46297453704</v>
      </c>
      <c r="C135" s="1" t="n">
        <v>45934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57265-2024</t>
        </is>
      </c>
      <c r="B136" s="1" t="n">
        <v>45629.56938657408</v>
      </c>
      <c r="C136" s="1" t="n">
        <v>45934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43535-2023</t>
        </is>
      </c>
      <c r="B137" s="1" t="n">
        <v>45184</v>
      </c>
      <c r="C137" s="1" t="n">
        <v>45934</v>
      </c>
      <c r="D137" t="inlineStr">
        <is>
          <t>ÖREBRO LÄN</t>
        </is>
      </c>
      <c r="E137" t="inlineStr">
        <is>
          <t>NORA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35675-2023</t>
        </is>
      </c>
      <c r="B138" s="1" t="n">
        <v>45147</v>
      </c>
      <c r="C138" s="1" t="n">
        <v>45934</v>
      </c>
      <c r="D138" t="inlineStr">
        <is>
          <t>ÖREBRO LÄN</t>
        </is>
      </c>
      <c r="E138" t="inlineStr">
        <is>
          <t>NORA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39257-2023</t>
        </is>
      </c>
      <c r="B139" s="1" t="n">
        <v>45166.48097222222</v>
      </c>
      <c r="C139" s="1" t="n">
        <v>45934</v>
      </c>
      <c r="D139" t="inlineStr">
        <is>
          <t>ÖREBRO LÄN</t>
        </is>
      </c>
      <c r="E139" t="inlineStr">
        <is>
          <t>NORA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35608-2021</t>
        </is>
      </c>
      <c r="B140" s="1" t="n">
        <v>44386.38070601852</v>
      </c>
      <c r="C140" s="1" t="n">
        <v>45934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59607-2024</t>
        </is>
      </c>
      <c r="B141" s="1" t="n">
        <v>45638.74914351852</v>
      </c>
      <c r="C141" s="1" t="n">
        <v>45934</v>
      </c>
      <c r="D141" t="inlineStr">
        <is>
          <t>ÖREBRO LÄN</t>
        </is>
      </c>
      <c r="E141" t="inlineStr">
        <is>
          <t>NORA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34759-2024</t>
        </is>
      </c>
      <c r="B142" s="1" t="n">
        <v>45526</v>
      </c>
      <c r="C142" s="1" t="n">
        <v>45934</v>
      </c>
      <c r="D142" t="inlineStr">
        <is>
          <t>ÖREBRO LÄN</t>
        </is>
      </c>
      <c r="E142" t="inlineStr">
        <is>
          <t>NORA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24391-2024</t>
        </is>
      </c>
      <c r="B143" s="1" t="n">
        <v>45457.63850694444</v>
      </c>
      <c r="C143" s="1" t="n">
        <v>45934</v>
      </c>
      <c r="D143" t="inlineStr">
        <is>
          <t>ÖREBRO LÄN</t>
        </is>
      </c>
      <c r="E143" t="inlineStr">
        <is>
          <t>NORA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24392-2024</t>
        </is>
      </c>
      <c r="B144" s="1" t="n">
        <v>45457.64085648148</v>
      </c>
      <c r="C144" s="1" t="n">
        <v>45934</v>
      </c>
      <c r="D144" t="inlineStr">
        <is>
          <t>ÖREBRO LÄN</t>
        </is>
      </c>
      <c r="E144" t="inlineStr">
        <is>
          <t>NORA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60301-2023</t>
        </is>
      </c>
      <c r="B145" s="1" t="n">
        <v>45258</v>
      </c>
      <c r="C145" s="1" t="n">
        <v>45934</v>
      </c>
      <c r="D145" t="inlineStr">
        <is>
          <t>ÖREBRO LÄN</t>
        </is>
      </c>
      <c r="E145" t="inlineStr">
        <is>
          <t>NORA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26021-2023</t>
        </is>
      </c>
      <c r="B146" s="1" t="n">
        <v>45091.29033564815</v>
      </c>
      <c r="C146" s="1" t="n">
        <v>45934</v>
      </c>
      <c r="D146" t="inlineStr">
        <is>
          <t>ÖREBRO LÄN</t>
        </is>
      </c>
      <c r="E146" t="inlineStr">
        <is>
          <t>NORA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41676-2021</t>
        </is>
      </c>
      <c r="B147" s="1" t="n">
        <v>44425.50175925926</v>
      </c>
      <c r="C147" s="1" t="n">
        <v>45934</v>
      </c>
      <c r="D147" t="inlineStr">
        <is>
          <t>ÖREBRO LÄN</t>
        </is>
      </c>
      <c r="E147" t="inlineStr">
        <is>
          <t>NORA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41669-2021</t>
        </is>
      </c>
      <c r="B148" s="1" t="n">
        <v>44425</v>
      </c>
      <c r="C148" s="1" t="n">
        <v>45934</v>
      </c>
      <c r="D148" t="inlineStr">
        <is>
          <t>ÖREBRO LÄN</t>
        </is>
      </c>
      <c r="E148" t="inlineStr">
        <is>
          <t>NORA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24820-2024</t>
        </is>
      </c>
      <c r="B149" s="1" t="n">
        <v>45461.3465625</v>
      </c>
      <c r="C149" s="1" t="n">
        <v>45934</v>
      </c>
      <c r="D149" t="inlineStr">
        <is>
          <t>ÖREBRO LÄN</t>
        </is>
      </c>
      <c r="E149" t="inlineStr">
        <is>
          <t>NORA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35144-2023</t>
        </is>
      </c>
      <c r="B150" s="1" t="n">
        <v>45145</v>
      </c>
      <c r="C150" s="1" t="n">
        <v>45934</v>
      </c>
      <c r="D150" t="inlineStr">
        <is>
          <t>ÖREBRO LÄN</t>
        </is>
      </c>
      <c r="E150" t="inlineStr">
        <is>
          <t>NORA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49632-2022</t>
        </is>
      </c>
      <c r="B151" s="1" t="n">
        <v>44862.43023148148</v>
      </c>
      <c r="C151" s="1" t="n">
        <v>45934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348-2025</t>
        </is>
      </c>
      <c r="B152" s="1" t="n">
        <v>45660</v>
      </c>
      <c r="C152" s="1" t="n">
        <v>45934</v>
      </c>
      <c r="D152" t="inlineStr">
        <is>
          <t>ÖREBRO LÄN</t>
        </is>
      </c>
      <c r="E152" t="inlineStr">
        <is>
          <t>NORA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73009-2021</t>
        </is>
      </c>
      <c r="B153" s="1" t="n">
        <v>44550.33282407407</v>
      </c>
      <c r="C153" s="1" t="n">
        <v>45934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39707-2022</t>
        </is>
      </c>
      <c r="B154" s="1" t="n">
        <v>44818.95277777778</v>
      </c>
      <c r="C154" s="1" t="n">
        <v>45934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24821-2024</t>
        </is>
      </c>
      <c r="B155" s="1" t="n">
        <v>45461.34765046297</v>
      </c>
      <c r="C155" s="1" t="n">
        <v>45934</v>
      </c>
      <c r="D155" t="inlineStr">
        <is>
          <t>ÖREBRO LÄN</t>
        </is>
      </c>
      <c r="E155" t="inlineStr">
        <is>
          <t>NORA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24833-2024</t>
        </is>
      </c>
      <c r="B156" s="1" t="n">
        <v>45461.39246527778</v>
      </c>
      <c r="C156" s="1" t="n">
        <v>45934</v>
      </c>
      <c r="D156" t="inlineStr">
        <is>
          <t>ÖREBRO LÄN</t>
        </is>
      </c>
      <c r="E156" t="inlineStr">
        <is>
          <t>NORA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64089-2023</t>
        </is>
      </c>
      <c r="B157" s="1" t="n">
        <v>45279</v>
      </c>
      <c r="C157" s="1" t="n">
        <v>45934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45229-2023</t>
        </is>
      </c>
      <c r="B158" s="1" t="n">
        <v>45191</v>
      </c>
      <c r="C158" s="1" t="n">
        <v>45934</v>
      </c>
      <c r="D158" t="inlineStr">
        <is>
          <t>ÖREBRO LÄN</t>
        </is>
      </c>
      <c r="E158" t="inlineStr">
        <is>
          <t>NORA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38798-2021</t>
        </is>
      </c>
      <c r="B159" s="1" t="n">
        <v>44410</v>
      </c>
      <c r="C159" s="1" t="n">
        <v>45934</v>
      </c>
      <c r="D159" t="inlineStr">
        <is>
          <t>ÖREBRO LÄN</t>
        </is>
      </c>
      <c r="E159" t="inlineStr">
        <is>
          <t>NORA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10079-2024</t>
        </is>
      </c>
      <c r="B160" s="1" t="n">
        <v>45364.42604166667</v>
      </c>
      <c r="C160" s="1" t="n">
        <v>45934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41696-2023</t>
        </is>
      </c>
      <c r="B161" s="1" t="n">
        <v>45176</v>
      </c>
      <c r="C161" s="1" t="n">
        <v>45934</v>
      </c>
      <c r="D161" t="inlineStr">
        <is>
          <t>ÖREBRO LÄN</t>
        </is>
      </c>
      <c r="E161" t="inlineStr">
        <is>
          <t>NORA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16109-2024</t>
        </is>
      </c>
      <c r="B162" s="1" t="n">
        <v>45406.46753472222</v>
      </c>
      <c r="C162" s="1" t="n">
        <v>45934</v>
      </c>
      <c r="D162" t="inlineStr">
        <is>
          <t>ÖREBRO LÄN</t>
        </is>
      </c>
      <c r="E162" t="inlineStr">
        <is>
          <t>NORA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47030-2025</t>
        </is>
      </c>
      <c r="B163" s="1" t="n">
        <v>45929.58944444444</v>
      </c>
      <c r="C163" s="1" t="n">
        <v>45934</v>
      </c>
      <c r="D163" t="inlineStr">
        <is>
          <t>ÖREBRO LÄN</t>
        </is>
      </c>
      <c r="E163" t="inlineStr">
        <is>
          <t>NORA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12183-2025</t>
        </is>
      </c>
      <c r="B164" s="1" t="n">
        <v>45729.46353009259</v>
      </c>
      <c r="C164" s="1" t="n">
        <v>45934</v>
      </c>
      <c r="D164" t="inlineStr">
        <is>
          <t>ÖREBRO LÄN</t>
        </is>
      </c>
      <c r="E164" t="inlineStr">
        <is>
          <t>NORA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49959-2023</t>
        </is>
      </c>
      <c r="B165" s="1" t="n">
        <v>45215.38530092593</v>
      </c>
      <c r="C165" s="1" t="n">
        <v>45934</v>
      </c>
      <c r="D165" t="inlineStr">
        <is>
          <t>ÖREBRO LÄN</t>
        </is>
      </c>
      <c r="E165" t="inlineStr">
        <is>
          <t>NORA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46410-2021</t>
        </is>
      </c>
      <c r="B166" s="1" t="n">
        <v>44444</v>
      </c>
      <c r="C166" s="1" t="n">
        <v>45934</v>
      </c>
      <c r="D166" t="inlineStr">
        <is>
          <t>ÖREBRO LÄN</t>
        </is>
      </c>
      <c r="E166" t="inlineStr">
        <is>
          <t>NORA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57639-2023</t>
        </is>
      </c>
      <c r="B167" s="1" t="n">
        <v>45246</v>
      </c>
      <c r="C167" s="1" t="n">
        <v>45934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16957-2025</t>
        </is>
      </c>
      <c r="B168" s="1" t="n">
        <v>45755.44732638889</v>
      </c>
      <c r="C168" s="1" t="n">
        <v>45934</v>
      </c>
      <c r="D168" t="inlineStr">
        <is>
          <t>ÖREBRO LÄN</t>
        </is>
      </c>
      <c r="E168" t="inlineStr">
        <is>
          <t>NORA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42049-2023</t>
        </is>
      </c>
      <c r="B169" s="1" t="n">
        <v>45177</v>
      </c>
      <c r="C169" s="1" t="n">
        <v>45934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8936-2025</t>
        </is>
      </c>
      <c r="B170" s="1" t="n">
        <v>45714</v>
      </c>
      <c r="C170" s="1" t="n">
        <v>45934</v>
      </c>
      <c r="D170" t="inlineStr">
        <is>
          <t>ÖREBRO LÄN</t>
        </is>
      </c>
      <c r="E170" t="inlineStr">
        <is>
          <t>NORA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53365-2023</t>
        </is>
      </c>
      <c r="B171" s="1" t="n">
        <v>45229.66844907407</v>
      </c>
      <c r="C171" s="1" t="n">
        <v>45934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26916-2022</t>
        </is>
      </c>
      <c r="B172" s="1" t="n">
        <v>44740</v>
      </c>
      <c r="C172" s="1" t="n">
        <v>45934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56871-2021</t>
        </is>
      </c>
      <c r="B173" s="1" t="n">
        <v>44481.78949074074</v>
      </c>
      <c r="C173" s="1" t="n">
        <v>45934</v>
      </c>
      <c r="D173" t="inlineStr">
        <is>
          <t>ÖREBRO LÄN</t>
        </is>
      </c>
      <c r="E173" t="inlineStr">
        <is>
          <t>NORA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57316-2022</t>
        </is>
      </c>
      <c r="B174" s="1" t="n">
        <v>44896.32079861111</v>
      </c>
      <c r="C174" s="1" t="n">
        <v>45934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43843-2023</t>
        </is>
      </c>
      <c r="B175" s="1" t="n">
        <v>45187</v>
      </c>
      <c r="C175" s="1" t="n">
        <v>45934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43919-2023</t>
        </is>
      </c>
      <c r="B176" s="1" t="n">
        <v>45182</v>
      </c>
      <c r="C176" s="1" t="n">
        <v>45934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29112-2023</t>
        </is>
      </c>
      <c r="B177" s="1" t="n">
        <v>45105.39409722222</v>
      </c>
      <c r="C177" s="1" t="n">
        <v>45934</v>
      </c>
      <c r="D177" t="inlineStr">
        <is>
          <t>ÖREBRO LÄN</t>
        </is>
      </c>
      <c r="E177" t="inlineStr">
        <is>
          <t>NORA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48610-2023</t>
        </is>
      </c>
      <c r="B178" s="1" t="n">
        <v>45208</v>
      </c>
      <c r="C178" s="1" t="n">
        <v>45934</v>
      </c>
      <c r="D178" t="inlineStr">
        <is>
          <t>ÖREBRO LÄN</t>
        </is>
      </c>
      <c r="E178" t="inlineStr">
        <is>
          <t>NORA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34206-2022</t>
        </is>
      </c>
      <c r="B179" s="1" t="n">
        <v>44791.65267361111</v>
      </c>
      <c r="C179" s="1" t="n">
        <v>45934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64090-2023</t>
        </is>
      </c>
      <c r="B180" s="1" t="n">
        <v>45279.43923611111</v>
      </c>
      <c r="C180" s="1" t="n">
        <v>45934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38177-2023</t>
        </is>
      </c>
      <c r="B181" s="1" t="n">
        <v>45161.44978009259</v>
      </c>
      <c r="C181" s="1" t="n">
        <v>45934</v>
      </c>
      <c r="D181" t="inlineStr">
        <is>
          <t>ÖREBRO LÄN</t>
        </is>
      </c>
      <c r="E181" t="inlineStr">
        <is>
          <t>NORA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12699-2023</t>
        </is>
      </c>
      <c r="B182" s="1" t="n">
        <v>45000</v>
      </c>
      <c r="C182" s="1" t="n">
        <v>45934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11888-2025</t>
        </is>
      </c>
      <c r="B183" s="1" t="n">
        <v>45728.45688657407</v>
      </c>
      <c r="C183" s="1" t="n">
        <v>45934</v>
      </c>
      <c r="D183" t="inlineStr">
        <is>
          <t>ÖREBRO LÄN</t>
        </is>
      </c>
      <c r="E183" t="inlineStr">
        <is>
          <t>NORA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26320-2022</t>
        </is>
      </c>
      <c r="B184" s="1" t="n">
        <v>44735.60184027778</v>
      </c>
      <c r="C184" s="1" t="n">
        <v>45934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14025-2021</t>
        </is>
      </c>
      <c r="B185" s="1" t="n">
        <v>44277.65498842593</v>
      </c>
      <c r="C185" s="1" t="n">
        <v>45934</v>
      </c>
      <c r="D185" t="inlineStr">
        <is>
          <t>ÖREBRO LÄN</t>
        </is>
      </c>
      <c r="E185" t="inlineStr">
        <is>
          <t>NORA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39513-2025</t>
        </is>
      </c>
      <c r="B186" s="1" t="n">
        <v>45890.41581018519</v>
      </c>
      <c r="C186" s="1" t="n">
        <v>45934</v>
      </c>
      <c r="D186" t="inlineStr">
        <is>
          <t>ÖREBRO LÄN</t>
        </is>
      </c>
      <c r="E186" t="inlineStr">
        <is>
          <t>NORA</t>
        </is>
      </c>
      <c r="F186" t="inlineStr">
        <is>
          <t>Kommuner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14315-2025</t>
        </is>
      </c>
      <c r="B187" s="1" t="n">
        <v>45740.72116898148</v>
      </c>
      <c r="C187" s="1" t="n">
        <v>45934</v>
      </c>
      <c r="D187" t="inlineStr">
        <is>
          <t>ÖREBRO LÄN</t>
        </is>
      </c>
      <c r="E187" t="inlineStr">
        <is>
          <t>NORA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5049-2022</t>
        </is>
      </c>
      <c r="B188" s="1" t="n">
        <v>44593</v>
      </c>
      <c r="C188" s="1" t="n">
        <v>45934</v>
      </c>
      <c r="D188" t="inlineStr">
        <is>
          <t>ÖREBRO LÄN</t>
        </is>
      </c>
      <c r="E188" t="inlineStr">
        <is>
          <t>NORA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59056-2024</t>
        </is>
      </c>
      <c r="B189" s="1" t="n">
        <v>45636</v>
      </c>
      <c r="C189" s="1" t="n">
        <v>45934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25723-2023</t>
        </is>
      </c>
      <c r="B190" s="1" t="n">
        <v>45090.3674537037</v>
      </c>
      <c r="C190" s="1" t="n">
        <v>45934</v>
      </c>
      <c r="D190" t="inlineStr">
        <is>
          <t>ÖREBRO LÄN</t>
        </is>
      </c>
      <c r="E190" t="inlineStr">
        <is>
          <t>NORA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16540-2024</t>
        </is>
      </c>
      <c r="B191" s="1" t="n">
        <v>45408.4334837963</v>
      </c>
      <c r="C191" s="1" t="n">
        <v>45934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9295-2025</t>
        </is>
      </c>
      <c r="B192" s="1" t="n">
        <v>45714</v>
      </c>
      <c r="C192" s="1" t="n">
        <v>45934</v>
      </c>
      <c r="D192" t="inlineStr">
        <is>
          <t>ÖREBRO LÄN</t>
        </is>
      </c>
      <c r="E192" t="inlineStr">
        <is>
          <t>NORA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4723-2023</t>
        </is>
      </c>
      <c r="B193" s="1" t="n">
        <v>44957.51490740741</v>
      </c>
      <c r="C193" s="1" t="n">
        <v>45934</v>
      </c>
      <c r="D193" t="inlineStr">
        <is>
          <t>ÖREBRO LÄN</t>
        </is>
      </c>
      <c r="E193" t="inlineStr">
        <is>
          <t>NORA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48229-2025</t>
        </is>
      </c>
      <c r="B194" s="1" t="n">
        <v>45933.51694444445</v>
      </c>
      <c r="C194" s="1" t="n">
        <v>45934</v>
      </c>
      <c r="D194" t="inlineStr">
        <is>
          <t>ÖREBRO LÄN</t>
        </is>
      </c>
      <c r="E194" t="inlineStr">
        <is>
          <t>NORA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21846-2025</t>
        </is>
      </c>
      <c r="B195" s="1" t="n">
        <v>45784.33967592593</v>
      </c>
      <c r="C195" s="1" t="n">
        <v>45934</v>
      </c>
      <c r="D195" t="inlineStr">
        <is>
          <t>ÖREBRO LÄN</t>
        </is>
      </c>
      <c r="E195" t="inlineStr">
        <is>
          <t>NORA</t>
        </is>
      </c>
      <c r="G195" t="n">
        <v>14.6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40710-2021</t>
        </is>
      </c>
      <c r="B196" s="1" t="n">
        <v>44420</v>
      </c>
      <c r="C196" s="1" t="n">
        <v>45934</v>
      </c>
      <c r="D196" t="inlineStr">
        <is>
          <t>ÖREBRO LÄN</t>
        </is>
      </c>
      <c r="E196" t="inlineStr">
        <is>
          <t>NORA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39837-2025</t>
        </is>
      </c>
      <c r="B197" s="1" t="n">
        <v>45891.56561342593</v>
      </c>
      <c r="C197" s="1" t="n">
        <v>45934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2413-2024</t>
        </is>
      </c>
      <c r="B198" s="1" t="n">
        <v>45310</v>
      </c>
      <c r="C198" s="1" t="n">
        <v>45934</v>
      </c>
      <c r="D198" t="inlineStr">
        <is>
          <t>ÖREBRO LÄN</t>
        </is>
      </c>
      <c r="E198" t="inlineStr">
        <is>
          <t>NORA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16281-2024</t>
        </is>
      </c>
      <c r="B199" s="1" t="n">
        <v>45407.36091435186</v>
      </c>
      <c r="C199" s="1" t="n">
        <v>45934</v>
      </c>
      <c r="D199" t="inlineStr">
        <is>
          <t>ÖREBRO LÄN</t>
        </is>
      </c>
      <c r="E199" t="inlineStr">
        <is>
          <t>NORA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45645-2022</t>
        </is>
      </c>
      <c r="B200" s="1" t="n">
        <v>44845.65557870371</v>
      </c>
      <c r="C200" s="1" t="n">
        <v>45934</v>
      </c>
      <c r="D200" t="inlineStr">
        <is>
          <t>ÖREBRO LÄN</t>
        </is>
      </c>
      <c r="E200" t="inlineStr">
        <is>
          <t>NORA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40497-2024</t>
        </is>
      </c>
      <c r="B201" s="1" t="n">
        <v>45555.57101851852</v>
      </c>
      <c r="C201" s="1" t="n">
        <v>45934</v>
      </c>
      <c r="D201" t="inlineStr">
        <is>
          <t>ÖREBRO LÄN</t>
        </is>
      </c>
      <c r="E201" t="inlineStr">
        <is>
          <t>NORA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34722-2024</t>
        </is>
      </c>
      <c r="B202" s="1" t="n">
        <v>45526</v>
      </c>
      <c r="C202" s="1" t="n">
        <v>45934</v>
      </c>
      <c r="D202" t="inlineStr">
        <is>
          <t>ÖREBRO LÄN</t>
        </is>
      </c>
      <c r="E202" t="inlineStr">
        <is>
          <t>NORA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1566-2025</t>
        </is>
      </c>
      <c r="B203" s="1" t="n">
        <v>45670</v>
      </c>
      <c r="C203" s="1" t="n">
        <v>45934</v>
      </c>
      <c r="D203" t="inlineStr">
        <is>
          <t>ÖREBRO LÄN</t>
        </is>
      </c>
      <c r="E203" t="inlineStr">
        <is>
          <t>NORA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27767-2023</t>
        </is>
      </c>
      <c r="B204" s="1" t="n">
        <v>45098.41659722223</v>
      </c>
      <c r="C204" s="1" t="n">
        <v>45934</v>
      </c>
      <c r="D204" t="inlineStr">
        <is>
          <t>ÖREBRO LÄN</t>
        </is>
      </c>
      <c r="E204" t="inlineStr">
        <is>
          <t>NORA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54604-2024</t>
        </is>
      </c>
      <c r="B205" s="1" t="n">
        <v>45617.683125</v>
      </c>
      <c r="C205" s="1" t="n">
        <v>45934</v>
      </c>
      <c r="D205" t="inlineStr">
        <is>
          <t>ÖREBRO LÄN</t>
        </is>
      </c>
      <c r="E205" t="inlineStr">
        <is>
          <t>NORA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13585-2024</t>
        </is>
      </c>
      <c r="B206" s="1" t="n">
        <v>45389.85309027778</v>
      </c>
      <c r="C206" s="1" t="n">
        <v>45934</v>
      </c>
      <c r="D206" t="inlineStr">
        <is>
          <t>ÖREBRO LÄN</t>
        </is>
      </c>
      <c r="E206" t="inlineStr">
        <is>
          <t>NORA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65942-2020</t>
        </is>
      </c>
      <c r="B207" s="1" t="n">
        <v>44173</v>
      </c>
      <c r="C207" s="1" t="n">
        <v>45934</v>
      </c>
      <c r="D207" t="inlineStr">
        <is>
          <t>ÖREBRO LÄN</t>
        </is>
      </c>
      <c r="E207" t="inlineStr">
        <is>
          <t>NORA</t>
        </is>
      </c>
      <c r="F207" t="inlineStr">
        <is>
          <t>Övriga Aktiebolag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17344-2024</t>
        </is>
      </c>
      <c r="B208" s="1" t="n">
        <v>45414.58052083333</v>
      </c>
      <c r="C208" s="1" t="n">
        <v>45934</v>
      </c>
      <c r="D208" t="inlineStr">
        <is>
          <t>ÖREBRO LÄN</t>
        </is>
      </c>
      <c r="E208" t="inlineStr">
        <is>
          <t>NORA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4977-2023</t>
        </is>
      </c>
      <c r="B209" s="1" t="n">
        <v>44958.46266203704</v>
      </c>
      <c r="C209" s="1" t="n">
        <v>45934</v>
      </c>
      <c r="D209" t="inlineStr">
        <is>
          <t>ÖREBRO LÄN</t>
        </is>
      </c>
      <c r="E209" t="inlineStr">
        <is>
          <t>NORA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63825-2023</t>
        </is>
      </c>
      <c r="B210" s="1" t="n">
        <v>45278</v>
      </c>
      <c r="C210" s="1" t="n">
        <v>45934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24818-2024</t>
        </is>
      </c>
      <c r="B211" s="1" t="n">
        <v>45461.33123842593</v>
      </c>
      <c r="C211" s="1" t="n">
        <v>45934</v>
      </c>
      <c r="D211" t="inlineStr">
        <is>
          <t>ÖREBRO LÄN</t>
        </is>
      </c>
      <c r="E211" t="inlineStr">
        <is>
          <t>NORA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1521-2025</t>
        </is>
      </c>
      <c r="B212" s="1" t="n">
        <v>45670</v>
      </c>
      <c r="C212" s="1" t="n">
        <v>45934</v>
      </c>
      <c r="D212" t="inlineStr">
        <is>
          <t>ÖREBRO LÄN</t>
        </is>
      </c>
      <c r="E212" t="inlineStr">
        <is>
          <t>NORA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53472-2022</t>
        </is>
      </c>
      <c r="B213" s="1" t="n">
        <v>44879</v>
      </c>
      <c r="C213" s="1" t="n">
        <v>45934</v>
      </c>
      <c r="D213" t="inlineStr">
        <is>
          <t>ÖREBRO LÄN</t>
        </is>
      </c>
      <c r="E213" t="inlineStr">
        <is>
          <t>NORA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5562-2025</t>
        </is>
      </c>
      <c r="B214" s="1" t="n">
        <v>45693</v>
      </c>
      <c r="C214" s="1" t="n">
        <v>45934</v>
      </c>
      <c r="D214" t="inlineStr">
        <is>
          <t>ÖREBRO LÄN</t>
        </is>
      </c>
      <c r="E214" t="inlineStr">
        <is>
          <t>NORA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5590-2025</t>
        </is>
      </c>
      <c r="B215" s="1" t="n">
        <v>45693</v>
      </c>
      <c r="C215" s="1" t="n">
        <v>45934</v>
      </c>
      <c r="D215" t="inlineStr">
        <is>
          <t>ÖREBRO LÄN</t>
        </is>
      </c>
      <c r="E215" t="inlineStr">
        <is>
          <t>NORA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52379-2023</t>
        </is>
      </c>
      <c r="B216" s="1" t="n">
        <v>45224</v>
      </c>
      <c r="C216" s="1" t="n">
        <v>45934</v>
      </c>
      <c r="D216" t="inlineStr">
        <is>
          <t>ÖREBRO LÄN</t>
        </is>
      </c>
      <c r="E216" t="inlineStr">
        <is>
          <t>NORA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17352-2024</t>
        </is>
      </c>
      <c r="B217" s="1" t="n">
        <v>45414.5908912037</v>
      </c>
      <c r="C217" s="1" t="n">
        <v>45934</v>
      </c>
      <c r="D217" t="inlineStr">
        <is>
          <t>ÖREBRO LÄN</t>
        </is>
      </c>
      <c r="E217" t="inlineStr">
        <is>
          <t>NORA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16537-2024</t>
        </is>
      </c>
      <c r="B218" s="1" t="n">
        <v>45408.43247685185</v>
      </c>
      <c r="C218" s="1" t="n">
        <v>45934</v>
      </c>
      <c r="D218" t="inlineStr">
        <is>
          <t>ÖREBRO LÄN</t>
        </is>
      </c>
      <c r="E218" t="inlineStr">
        <is>
          <t>NORA</t>
        </is>
      </c>
      <c r="F218" t="inlineStr">
        <is>
          <t>Kommuner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16557-2024</t>
        </is>
      </c>
      <c r="B219" s="1" t="n">
        <v>45408.45260416667</v>
      </c>
      <c r="C219" s="1" t="n">
        <v>45934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17770-2022</t>
        </is>
      </c>
      <c r="B220" s="1" t="n">
        <v>44682.64953703704</v>
      </c>
      <c r="C220" s="1" t="n">
        <v>45934</v>
      </c>
      <c r="D220" t="inlineStr">
        <is>
          <t>ÖREBRO LÄN</t>
        </is>
      </c>
      <c r="E220" t="inlineStr">
        <is>
          <t>NORA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52303-2024</t>
        </is>
      </c>
      <c r="B221" s="1" t="n">
        <v>45608.75231481482</v>
      </c>
      <c r="C221" s="1" t="n">
        <v>45934</v>
      </c>
      <c r="D221" t="inlineStr">
        <is>
          <t>ÖREBRO LÄN</t>
        </is>
      </c>
      <c r="E221" t="inlineStr">
        <is>
          <t>NORA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23277-2024</t>
        </is>
      </c>
      <c r="B222" s="1" t="n">
        <v>45453.40982638889</v>
      </c>
      <c r="C222" s="1" t="n">
        <v>45934</v>
      </c>
      <c r="D222" t="inlineStr">
        <is>
          <t>ÖREBRO LÄN</t>
        </is>
      </c>
      <c r="E222" t="inlineStr">
        <is>
          <t>NORA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26657-2025</t>
        </is>
      </c>
      <c r="B223" s="1" t="n">
        <v>45810.39180555556</v>
      </c>
      <c r="C223" s="1" t="n">
        <v>45934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48707-2022</t>
        </is>
      </c>
      <c r="B224" s="1" t="n">
        <v>44859</v>
      </c>
      <c r="C224" s="1" t="n">
        <v>45934</v>
      </c>
      <c r="D224" t="inlineStr">
        <is>
          <t>ÖREBRO LÄN</t>
        </is>
      </c>
      <c r="E224" t="inlineStr">
        <is>
          <t>NORA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27844-2025</t>
        </is>
      </c>
      <c r="B225" s="1" t="n">
        <v>45817.39009259259</v>
      </c>
      <c r="C225" s="1" t="n">
        <v>45934</v>
      </c>
      <c r="D225" t="inlineStr">
        <is>
          <t>ÖREBRO LÄN</t>
        </is>
      </c>
      <c r="E225" t="inlineStr">
        <is>
          <t>NORA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27878-2025</t>
        </is>
      </c>
      <c r="B226" s="1" t="n">
        <v>45817.443125</v>
      </c>
      <c r="C226" s="1" t="n">
        <v>45934</v>
      </c>
      <c r="D226" t="inlineStr">
        <is>
          <t>ÖREBRO LÄN</t>
        </is>
      </c>
      <c r="E226" t="inlineStr">
        <is>
          <t>NORA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56136-2022</t>
        </is>
      </c>
      <c r="B227" s="1" t="n">
        <v>44889</v>
      </c>
      <c r="C227" s="1" t="n">
        <v>45934</v>
      </c>
      <c r="D227" t="inlineStr">
        <is>
          <t>ÖREBRO LÄN</t>
        </is>
      </c>
      <c r="E227" t="inlineStr">
        <is>
          <t>NORA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29669-2025</t>
        </is>
      </c>
      <c r="B228" s="1" t="n">
        <v>45825.49673611111</v>
      </c>
      <c r="C228" s="1" t="n">
        <v>45934</v>
      </c>
      <c r="D228" t="inlineStr">
        <is>
          <t>ÖREBRO LÄN</t>
        </is>
      </c>
      <c r="E228" t="inlineStr">
        <is>
          <t>NORA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55863-2021</t>
        </is>
      </c>
      <c r="B229" s="1" t="n">
        <v>44476</v>
      </c>
      <c r="C229" s="1" t="n">
        <v>45934</v>
      </c>
      <c r="D229" t="inlineStr">
        <is>
          <t>ÖREBRO LÄN</t>
        </is>
      </c>
      <c r="E229" t="inlineStr">
        <is>
          <t>NORA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7579-2024</t>
        </is>
      </c>
      <c r="B230" s="1" t="n">
        <v>45348</v>
      </c>
      <c r="C230" s="1" t="n">
        <v>45934</v>
      </c>
      <c r="D230" t="inlineStr">
        <is>
          <t>ÖREBRO LÄN</t>
        </is>
      </c>
      <c r="E230" t="inlineStr">
        <is>
          <t>NORA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27577-2024</t>
        </is>
      </c>
      <c r="B231" s="1" t="n">
        <v>45474.65008101852</v>
      </c>
      <c r="C231" s="1" t="n">
        <v>45934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26022-2023</t>
        </is>
      </c>
      <c r="B232" s="1" t="n">
        <v>45091.29174768519</v>
      </c>
      <c r="C232" s="1" t="n">
        <v>45934</v>
      </c>
      <c r="D232" t="inlineStr">
        <is>
          <t>ÖREBRO LÄN</t>
        </is>
      </c>
      <c r="E232" t="inlineStr">
        <is>
          <t>NORA</t>
        </is>
      </c>
      <c r="F232" t="inlineStr">
        <is>
          <t>Kyrkan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15012-2023</t>
        </is>
      </c>
      <c r="B233" s="1" t="n">
        <v>45015</v>
      </c>
      <c r="C233" s="1" t="n">
        <v>45934</v>
      </c>
      <c r="D233" t="inlineStr">
        <is>
          <t>ÖREBRO LÄN</t>
        </is>
      </c>
      <c r="E233" t="inlineStr">
        <is>
          <t>NORA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45234-2023</t>
        </is>
      </c>
      <c r="B234" s="1" t="n">
        <v>45191.59268518518</v>
      </c>
      <c r="C234" s="1" t="n">
        <v>45934</v>
      </c>
      <c r="D234" t="inlineStr">
        <is>
          <t>ÖREBRO LÄN</t>
        </is>
      </c>
      <c r="E234" t="inlineStr">
        <is>
          <t>NORA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12907-2025</t>
        </is>
      </c>
      <c r="B235" s="1" t="n">
        <v>45733.8203587963</v>
      </c>
      <c r="C235" s="1" t="n">
        <v>45934</v>
      </c>
      <c r="D235" t="inlineStr">
        <is>
          <t>ÖREBRO LÄN</t>
        </is>
      </c>
      <c r="E235" t="inlineStr">
        <is>
          <t>NORA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60397-2022</t>
        </is>
      </c>
      <c r="B236" s="1" t="n">
        <v>44910.90956018519</v>
      </c>
      <c r="C236" s="1" t="n">
        <v>45934</v>
      </c>
      <c r="D236" t="inlineStr">
        <is>
          <t>ÖREBRO LÄN</t>
        </is>
      </c>
      <c r="E236" t="inlineStr">
        <is>
          <t>NORA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32501-2025</t>
        </is>
      </c>
      <c r="B237" s="1" t="n">
        <v>45838.46260416666</v>
      </c>
      <c r="C237" s="1" t="n">
        <v>45934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17716-2025</t>
        </is>
      </c>
      <c r="B238" s="1" t="n">
        <v>45758.44623842592</v>
      </c>
      <c r="C238" s="1" t="n">
        <v>45934</v>
      </c>
      <c r="D238" t="inlineStr">
        <is>
          <t>ÖREBRO LÄN</t>
        </is>
      </c>
      <c r="E238" t="inlineStr">
        <is>
          <t>NORA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40339-2024</t>
        </is>
      </c>
      <c r="B239" s="1" t="n">
        <v>45555.33125</v>
      </c>
      <c r="C239" s="1" t="n">
        <v>45934</v>
      </c>
      <c r="D239" t="inlineStr">
        <is>
          <t>ÖREBRO LÄN</t>
        </is>
      </c>
      <c r="E239" t="inlineStr">
        <is>
          <t>NORA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6179-2021</t>
        </is>
      </c>
      <c r="B240" s="1" t="n">
        <v>44232</v>
      </c>
      <c r="C240" s="1" t="n">
        <v>45934</v>
      </c>
      <c r="D240" t="inlineStr">
        <is>
          <t>ÖREBRO LÄN</t>
        </is>
      </c>
      <c r="E240" t="inlineStr">
        <is>
          <t>NORA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34835-2025</t>
        </is>
      </c>
      <c r="B241" s="1" t="n">
        <v>45849.38855324074</v>
      </c>
      <c r="C241" s="1" t="n">
        <v>45934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34824-2025</t>
        </is>
      </c>
      <c r="B242" s="1" t="n">
        <v>45849.38061342593</v>
      </c>
      <c r="C242" s="1" t="n">
        <v>45934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34827-2025</t>
        </is>
      </c>
      <c r="B243" s="1" t="n">
        <v>45849.38547453703</v>
      </c>
      <c r="C243" s="1" t="n">
        <v>45934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34825-2025</t>
        </is>
      </c>
      <c r="B244" s="1" t="n">
        <v>45849.38262731482</v>
      </c>
      <c r="C244" s="1" t="n">
        <v>45934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26278-2021</t>
        </is>
      </c>
      <c r="B245" s="1" t="n">
        <v>44347</v>
      </c>
      <c r="C245" s="1" t="n">
        <v>45934</v>
      </c>
      <c r="D245" t="inlineStr">
        <is>
          <t>ÖREBRO LÄN</t>
        </is>
      </c>
      <c r="E245" t="inlineStr">
        <is>
          <t>NORA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14477-2025</t>
        </is>
      </c>
      <c r="B246" s="1" t="n">
        <v>45741.58723379629</v>
      </c>
      <c r="C246" s="1" t="n">
        <v>45934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14482-2025</t>
        </is>
      </c>
      <c r="B247" s="1" t="n">
        <v>45741.59662037037</v>
      </c>
      <c r="C247" s="1" t="n">
        <v>45934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40082-2025</t>
        </is>
      </c>
      <c r="B248" s="1" t="n">
        <v>45894.46731481481</v>
      </c>
      <c r="C248" s="1" t="n">
        <v>45934</v>
      </c>
      <c r="D248" t="inlineStr">
        <is>
          <t>ÖREBRO LÄN</t>
        </is>
      </c>
      <c r="E248" t="inlineStr">
        <is>
          <t>NORA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31957-2024</t>
        </is>
      </c>
      <c r="B249" s="1" t="n">
        <v>45510.49798611111</v>
      </c>
      <c r="C249" s="1" t="n">
        <v>45934</v>
      </c>
      <c r="D249" t="inlineStr">
        <is>
          <t>ÖREBRO LÄN</t>
        </is>
      </c>
      <c r="E249" t="inlineStr">
        <is>
          <t>NORA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56904-2024</t>
        </is>
      </c>
      <c r="B250" s="1" t="n">
        <v>45628.58696759259</v>
      </c>
      <c r="C250" s="1" t="n">
        <v>45934</v>
      </c>
      <c r="D250" t="inlineStr">
        <is>
          <t>ÖREBRO LÄN</t>
        </is>
      </c>
      <c r="E250" t="inlineStr">
        <is>
          <t>NORA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9754-2022</t>
        </is>
      </c>
      <c r="B251" s="1" t="n">
        <v>44618.81180555555</v>
      </c>
      <c r="C251" s="1" t="n">
        <v>45934</v>
      </c>
      <c r="D251" t="inlineStr">
        <is>
          <t>ÖREBRO LÄN</t>
        </is>
      </c>
      <c r="E251" t="inlineStr">
        <is>
          <t>NORA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33887-2024</t>
        </is>
      </c>
      <c r="B252" s="1" t="n">
        <v>45523.3167824074</v>
      </c>
      <c r="C252" s="1" t="n">
        <v>45934</v>
      </c>
      <c r="D252" t="inlineStr">
        <is>
          <t>ÖREBRO LÄN</t>
        </is>
      </c>
      <c r="E252" t="inlineStr">
        <is>
          <t>NORA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35659-2023</t>
        </is>
      </c>
      <c r="B253" s="1" t="n">
        <v>45147</v>
      </c>
      <c r="C253" s="1" t="n">
        <v>45934</v>
      </c>
      <c r="D253" t="inlineStr">
        <is>
          <t>ÖREBRO LÄN</t>
        </is>
      </c>
      <c r="E253" t="inlineStr">
        <is>
          <t>NORA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17140-2022</t>
        </is>
      </c>
      <c r="B254" s="1" t="n">
        <v>44677.53418981482</v>
      </c>
      <c r="C254" s="1" t="n">
        <v>45934</v>
      </c>
      <c r="D254" t="inlineStr">
        <is>
          <t>ÖREBRO LÄN</t>
        </is>
      </c>
      <c r="E254" t="inlineStr">
        <is>
          <t>NORA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41588-2025</t>
        </is>
      </c>
      <c r="B255" s="1" t="n">
        <v>45901.63114583334</v>
      </c>
      <c r="C255" s="1" t="n">
        <v>45934</v>
      </c>
      <c r="D255" t="inlineStr">
        <is>
          <t>ÖREBRO LÄN</t>
        </is>
      </c>
      <c r="E255" t="inlineStr">
        <is>
          <t>NORA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35330-2021</t>
        </is>
      </c>
      <c r="B256" s="1" t="n">
        <v>44384.81996527778</v>
      </c>
      <c r="C256" s="1" t="n">
        <v>45934</v>
      </c>
      <c r="D256" t="inlineStr">
        <is>
          <t>ÖREBRO LÄN</t>
        </is>
      </c>
      <c r="E256" t="inlineStr">
        <is>
          <t>NORA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40126-2021</t>
        </is>
      </c>
      <c r="B257" s="1" t="n">
        <v>44418</v>
      </c>
      <c r="C257" s="1" t="n">
        <v>45934</v>
      </c>
      <c r="D257" t="inlineStr">
        <is>
          <t>ÖREBRO LÄN</t>
        </is>
      </c>
      <c r="E257" t="inlineStr">
        <is>
          <t>NORA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42049-2025</t>
        </is>
      </c>
      <c r="B258" s="1" t="n">
        <v>45903.63034722222</v>
      </c>
      <c r="C258" s="1" t="n">
        <v>45934</v>
      </c>
      <c r="D258" t="inlineStr">
        <is>
          <t>ÖREBRO LÄN</t>
        </is>
      </c>
      <c r="E258" t="inlineStr">
        <is>
          <t>NORA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42050-2025</t>
        </is>
      </c>
      <c r="B259" s="1" t="n">
        <v>45903.63047453704</v>
      </c>
      <c r="C259" s="1" t="n">
        <v>45934</v>
      </c>
      <c r="D259" t="inlineStr">
        <is>
          <t>ÖREBRO LÄN</t>
        </is>
      </c>
      <c r="E259" t="inlineStr">
        <is>
          <t>NORA</t>
        </is>
      </c>
      <c r="F259" t="inlineStr">
        <is>
          <t>Övriga Aktiebolag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42056-2025</t>
        </is>
      </c>
      <c r="B260" s="1" t="n">
        <v>45903.64190972222</v>
      </c>
      <c r="C260" s="1" t="n">
        <v>45934</v>
      </c>
      <c r="D260" t="inlineStr">
        <is>
          <t>ÖREBRO LÄN</t>
        </is>
      </c>
      <c r="E260" t="inlineStr">
        <is>
          <t>NORA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41939-2025</t>
        </is>
      </c>
      <c r="B261" s="1" t="n">
        <v>45903.44396990741</v>
      </c>
      <c r="C261" s="1" t="n">
        <v>45934</v>
      </c>
      <c r="D261" t="inlineStr">
        <is>
          <t>ÖREBRO LÄN</t>
        </is>
      </c>
      <c r="E261" t="inlineStr">
        <is>
          <t>NORA</t>
        </is>
      </c>
      <c r="F261" t="inlineStr">
        <is>
          <t>Övriga Aktiebolag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18134-2021</t>
        </is>
      </c>
      <c r="B262" s="1" t="n">
        <v>44302</v>
      </c>
      <c r="C262" s="1" t="n">
        <v>45934</v>
      </c>
      <c r="D262" t="inlineStr">
        <is>
          <t>ÖREBRO LÄN</t>
        </is>
      </c>
      <c r="E262" t="inlineStr">
        <is>
          <t>NORA</t>
        </is>
      </c>
      <c r="G262" t="n">
        <v>16.8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34026-2022</t>
        </is>
      </c>
      <c r="B263" s="1" t="n">
        <v>44791.32811342592</v>
      </c>
      <c r="C263" s="1" t="n">
        <v>45934</v>
      </c>
      <c r="D263" t="inlineStr">
        <is>
          <t>ÖREBRO LÄN</t>
        </is>
      </c>
      <c r="E263" t="inlineStr">
        <is>
          <t>NORA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24828-2024</t>
        </is>
      </c>
      <c r="B264" s="1" t="n">
        <v>45461.3750462963</v>
      </c>
      <c r="C264" s="1" t="n">
        <v>45934</v>
      </c>
      <c r="D264" t="inlineStr">
        <is>
          <t>ÖREBRO LÄN</t>
        </is>
      </c>
      <c r="E264" t="inlineStr">
        <is>
          <t>NORA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52505-2023</t>
        </is>
      </c>
      <c r="B265" s="1" t="n">
        <v>45225</v>
      </c>
      <c r="C265" s="1" t="n">
        <v>45934</v>
      </c>
      <c r="D265" t="inlineStr">
        <is>
          <t>ÖREBRO LÄN</t>
        </is>
      </c>
      <c r="E265" t="inlineStr">
        <is>
          <t>NORA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36089-2025</t>
        </is>
      </c>
      <c r="B266" s="1" t="n">
        <v>45866</v>
      </c>
      <c r="C266" s="1" t="n">
        <v>45934</v>
      </c>
      <c r="D266" t="inlineStr">
        <is>
          <t>ÖREBRO LÄN</t>
        </is>
      </c>
      <c r="E266" t="inlineStr">
        <is>
          <t>NORA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29018-2023</t>
        </is>
      </c>
      <c r="B267" s="1" t="n">
        <v>45104</v>
      </c>
      <c r="C267" s="1" t="n">
        <v>45934</v>
      </c>
      <c r="D267" t="inlineStr">
        <is>
          <t>ÖREBRO LÄN</t>
        </is>
      </c>
      <c r="E267" t="inlineStr">
        <is>
          <t>NORA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43206-2025</t>
        </is>
      </c>
      <c r="B268" s="1" t="n">
        <v>45910.44984953704</v>
      </c>
      <c r="C268" s="1" t="n">
        <v>45934</v>
      </c>
      <c r="D268" t="inlineStr">
        <is>
          <t>ÖREBRO LÄN</t>
        </is>
      </c>
      <c r="E268" t="inlineStr">
        <is>
          <t>NORA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2025-10-04T12:35:43Z</dcterms:created>
  <dcterms:modified xmlns:dcterms="http://purl.org/dc/terms/" xmlns:xsi="http://www.w3.org/2001/XMLSchema-instance" xsi:type="dcterms:W3CDTF">2025-10-04T12:35:43Z</dcterms:modified>
</cp:coreProperties>
</file>