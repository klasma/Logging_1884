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45582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45582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45582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45582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45582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45582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52210-2022</t>
        </is>
      </c>
      <c r="B8" s="1" t="n">
        <v>44873</v>
      </c>
      <c r="C8" s="1" t="n">
        <v>45582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8.5</v>
      </c>
      <c r="H8" t="n">
        <v>2</v>
      </c>
      <c r="I8" t="n">
        <v>0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4</v>
      </c>
      <c r="R8" s="2" t="inlineStr">
        <is>
          <t>Skogsalm
Ask
Asknätfjäril
Revlummer</t>
        </is>
      </c>
      <c r="S8">
        <f>HYPERLINK("https://klasma.github.io/Logging_1884/artfynd/A 52210-2022 artfynd.xlsx", "A 52210-2022")</f>
        <v/>
      </c>
      <c r="T8">
        <f>HYPERLINK("https://klasma.github.io/Logging_1884/kartor/A 52210-2022 karta.png", "A 52210-2022")</f>
        <v/>
      </c>
      <c r="V8">
        <f>HYPERLINK("https://klasma.github.io/Logging_1884/klagomål/A 52210-2022 FSC-klagomål.docx", "A 52210-2022")</f>
        <v/>
      </c>
      <c r="W8">
        <f>HYPERLINK("https://klasma.github.io/Logging_1884/klagomålsmail/A 52210-2022 FSC-klagomål mail.docx", "A 52210-2022")</f>
        <v/>
      </c>
      <c r="X8">
        <f>HYPERLINK("https://klasma.github.io/Logging_1884/tillsyn/A 52210-2022 tillsynsbegäran.docx", "A 52210-2022")</f>
        <v/>
      </c>
      <c r="Y8">
        <f>HYPERLINK("https://klasma.github.io/Logging_1884/tillsynsmail/A 52210-2022 tillsynsbegäran mail.docx", "A 52210-2022")</f>
        <v/>
      </c>
    </row>
    <row r="9" ht="15" customHeight="1">
      <c r="A9" t="inlineStr">
        <is>
          <t>A 19071-2023</t>
        </is>
      </c>
      <c r="B9" s="1" t="n">
        <v>45048</v>
      </c>
      <c r="C9" s="1" t="n">
        <v>45582</v>
      </c>
      <c r="D9" t="inlineStr">
        <is>
          <t>ÖREBRO LÄN</t>
        </is>
      </c>
      <c r="E9" t="inlineStr">
        <is>
          <t>NORA</t>
        </is>
      </c>
      <c r="G9" t="n">
        <v>4.2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Mörk husmossa
Svavelriska
Västlig hakmossa</t>
        </is>
      </c>
      <c r="S9">
        <f>HYPERLINK("https://klasma.github.io/Logging_1884/artfynd/A 19071-2023 artfynd.xlsx", "A 19071-2023")</f>
        <v/>
      </c>
      <c r="T9">
        <f>HYPERLINK("https://klasma.github.io/Logging_1884/kartor/A 19071-2023 karta.png", "A 19071-2023")</f>
        <v/>
      </c>
      <c r="V9">
        <f>HYPERLINK("https://klasma.github.io/Logging_1884/klagomål/A 19071-2023 FSC-klagomål.docx", "A 19071-2023")</f>
        <v/>
      </c>
      <c r="W9">
        <f>HYPERLINK("https://klasma.github.io/Logging_1884/klagomålsmail/A 19071-2023 FSC-klagomål mail.docx", "A 19071-2023")</f>
        <v/>
      </c>
      <c r="X9">
        <f>HYPERLINK("https://klasma.github.io/Logging_1884/tillsyn/A 19071-2023 tillsynsbegäran.docx", "A 19071-2023")</f>
        <v/>
      </c>
      <c r="Y9">
        <f>HYPERLINK("https://klasma.github.io/Logging_1884/tillsynsmail/A 19071-2023 tillsynsbegäran mail.docx", "A 19071-2023")</f>
        <v/>
      </c>
    </row>
    <row r="10" ht="15" customHeight="1">
      <c r="A10" t="inlineStr">
        <is>
          <t>A 22408-2023</t>
        </is>
      </c>
      <c r="B10" s="1" t="n">
        <v>45070</v>
      </c>
      <c r="C10" s="1" t="n">
        <v>45582</v>
      </c>
      <c r="D10" t="inlineStr">
        <is>
          <t>ÖREBRO LÄN</t>
        </is>
      </c>
      <c r="E10" t="inlineStr">
        <is>
          <t>NORA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 taggsvamp
Fjällig taggsvamp s.str.
Tibast</t>
        </is>
      </c>
      <c r="S10">
        <f>HYPERLINK("https://klasma.github.io/Logging_1884/artfynd/A 22408-2023 artfynd.xlsx", "A 22408-2023")</f>
        <v/>
      </c>
      <c r="T10">
        <f>HYPERLINK("https://klasma.github.io/Logging_1884/kartor/A 22408-2023 karta.png", "A 22408-2023")</f>
        <v/>
      </c>
      <c r="V10">
        <f>HYPERLINK("https://klasma.github.io/Logging_1884/klagomål/A 22408-2023 FSC-klagomål.docx", "A 22408-2023")</f>
        <v/>
      </c>
      <c r="W10">
        <f>HYPERLINK("https://klasma.github.io/Logging_1884/klagomålsmail/A 22408-2023 FSC-klagomål mail.docx", "A 22408-2023")</f>
        <v/>
      </c>
      <c r="X10">
        <f>HYPERLINK("https://klasma.github.io/Logging_1884/tillsyn/A 22408-2023 tillsynsbegäran.docx", "A 22408-2023")</f>
        <v/>
      </c>
      <c r="Y10">
        <f>HYPERLINK("https://klasma.github.io/Logging_1884/tillsynsmail/A 22408-2023 tillsynsbegäran mail.docx", "A 22408-2023")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45582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Cinnoberspindling
Spillkråka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  <c r="Z11">
        <f>HYPERLINK("https://klasma.github.io/Logging_1884/fåglar/A 8349-2024 prioriterade fågelarter.docx", "A 8349-2024")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45582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45582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Drillsnäppa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45582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45582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45582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45582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45582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45582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45582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45582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45582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45582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45582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45582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45582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45582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45582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45582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45582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45582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45582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45582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45582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45582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45582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45582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45582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45582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45582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45582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45582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45582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45582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45582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45582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45582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45582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45582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45582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45582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45582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45582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45582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45582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45582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45582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45582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45582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45582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45582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45582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45582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45582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45582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45582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45582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45582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45582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45582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45582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45582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45582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45582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45582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45582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45582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45582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45582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45582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45582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45582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45582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45582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45582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45582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45582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45582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45582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45582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45582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45582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45582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45582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45582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45582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45582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45582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45582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45582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45582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45582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45582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45582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45582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45582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45582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45582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45582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45582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45582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45582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45582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45582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45582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45582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45582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45582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45582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45582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45582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45582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45582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45582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45582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45582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45582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45582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45582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45582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45582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45582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45582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45582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45582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45582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45582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45582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45582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45582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45582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45582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45582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45582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45582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45582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45582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45582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45582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45582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45582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45582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45582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45582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45582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45582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45582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45582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45582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45582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45582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45582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45582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45582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45582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45582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45582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45582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45582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45582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45582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45582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45582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45582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45582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45582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45582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45582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45582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45582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45582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45582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45582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45582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45582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45582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45582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45582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45582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45582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45582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45582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45582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45582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45582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45582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45582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45582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45582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45582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45582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45582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45582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45582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45582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45582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45582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45582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45582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45582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45582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45582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45582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45582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45582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45582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45582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45582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45582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45582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45582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45582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45582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45582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45582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45582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45582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45582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45582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45582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45582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45582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45582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45582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45582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45582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45582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45582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45582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45582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45582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45582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45582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45582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45582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45582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45582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45582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45582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45582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45582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45582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45582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45582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45582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45582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45582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45582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45582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45582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45582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45582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45582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45582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45582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45582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45582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45582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45582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45582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45582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45582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45582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45582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45582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45582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45582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45582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45582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45582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45582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45582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45582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45582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45582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45582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45582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45582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45582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45582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45582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45582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45582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45582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45582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45582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45582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45582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45582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45582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45582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45582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45582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45582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45582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45582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45582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45582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45582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45582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45582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45582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45582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45582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45582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45582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45582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45582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45582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45582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45582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45582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45582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45582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45582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45582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45582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45582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45582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45582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45582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45582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45582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45582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45582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45582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45582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45582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45582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45582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45582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45582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45582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45582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45582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45582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45582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45582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45582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45582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45582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45582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45582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45582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45582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45582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45582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45582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45582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45582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45582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45582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45582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45582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45582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45582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45582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45582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45582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45582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45582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45582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45582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45582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45582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45582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45582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45582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45582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45582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45582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45582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45582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45582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45582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45582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45582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45582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45582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45582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45582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45582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45582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45582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45582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45582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45582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45582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45582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45582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45582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45582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45582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45582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45582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45582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45582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45582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45582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45582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45582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45582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45582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45582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45582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45582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45582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45582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45582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45582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45582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45582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45582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45582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45582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45582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45582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45582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45582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45582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45582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45582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45582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45582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45582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45582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45582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45582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45582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45582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45582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45582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45582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45582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45582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45582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45582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45582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45582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45582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45582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45582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45582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45582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45582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45582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45582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45582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45582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45582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45582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45582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45582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45582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45582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45582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45582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45582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45582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45582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45582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45582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45582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45582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45582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45582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45582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45582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45582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45582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45582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45582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40339-2024</t>
        </is>
      </c>
      <c r="B483" s="1" t="n">
        <v>45555</v>
      </c>
      <c r="C483" s="1" t="n">
        <v>45582</v>
      </c>
      <c r="D483" t="inlineStr">
        <is>
          <t>ÖREBRO LÄN</t>
        </is>
      </c>
      <c r="E483" t="inlineStr">
        <is>
          <t>NORA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40497-2024</t>
        </is>
      </c>
      <c r="B484" s="1" t="n">
        <v>45555</v>
      </c>
      <c r="C484" s="1" t="n">
        <v>45582</v>
      </c>
      <c r="D484" t="inlineStr">
        <is>
          <t>ÖREBRO LÄN</t>
        </is>
      </c>
      <c r="E484" t="inlineStr">
        <is>
          <t>NORA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40496-2024</t>
        </is>
      </c>
      <c r="B485" s="1" t="n">
        <v>45555</v>
      </c>
      <c r="C485" s="1" t="n">
        <v>45582</v>
      </c>
      <c r="D485" t="inlineStr">
        <is>
          <t>ÖREBRO LÄN</t>
        </is>
      </c>
      <c r="E485" t="inlineStr">
        <is>
          <t>NORA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44379-2024</t>
        </is>
      </c>
      <c r="B486" s="1" t="n">
        <v>45573</v>
      </c>
      <c r="C486" s="1" t="n">
        <v>45582</v>
      </c>
      <c r="D486" t="inlineStr">
        <is>
          <t>ÖREBRO LÄN</t>
        </is>
      </c>
      <c r="E486" t="inlineStr">
        <is>
          <t>NORA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46110-2024</t>
        </is>
      </c>
      <c r="B487" s="1" t="n">
        <v>45581</v>
      </c>
      <c r="C487" s="1" t="n">
        <v>45582</v>
      </c>
      <c r="D487" t="inlineStr">
        <is>
          <t>ÖREBRO LÄN</t>
        </is>
      </c>
      <c r="E487" t="inlineStr">
        <is>
          <t>NORA</t>
        </is>
      </c>
      <c r="F487" t="inlineStr">
        <is>
          <t>Sveaskog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46112-2024</t>
        </is>
      </c>
      <c r="B488" s="1" t="n">
        <v>45581</v>
      </c>
      <c r="C488" s="1" t="n">
        <v>45582</v>
      </c>
      <c r="D488" t="inlineStr">
        <is>
          <t>ÖREBRO LÄN</t>
        </is>
      </c>
      <c r="E488" t="inlineStr">
        <is>
          <t>NORA</t>
        </is>
      </c>
      <c r="F488" t="inlineStr">
        <is>
          <t>Sveaskog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2024-10-17T12:42:16Z</dcterms:created>
  <dcterms:modified xmlns:dcterms="http://purl.org/dc/terms/" xmlns:xsi="http://www.w3.org/2001/XMLSchema-instance" xsi:type="dcterms:W3CDTF">2024-10-17T12:42:16Z</dcterms:modified>
</cp:coreProperties>
</file>