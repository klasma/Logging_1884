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220-2024</t>
        </is>
      </c>
      <c r="B2" t="inlineStr">
        <is>
          <t>samrådsanmälan</t>
        </is>
      </c>
      <c r="C2" t="inlineStr">
        <is>
          <t>Skogsgödsling</t>
        </is>
      </c>
      <c r="D2" s="1" t="n">
        <v>45316</v>
      </c>
      <c r="E2" s="1" t="n">
        <v>46221</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2">
        <f>HYPERLINK("https://klasma.github.io/Logging_1884/artfynd/S 220-2024 artfynd.xlsx", "S 220-2024")</f>
        <v/>
      </c>
      <c r="W2">
        <f>HYPERLINK("https://klasma.github.io/Logging_1884/kartor/S 220-2024 karta.png", "S 220-2024")</f>
        <v/>
      </c>
      <c r="Y2">
        <f>HYPERLINK("https://klasma.github.io/Logging_1884/klagomål/S 220-2024 FSC-klagomål.docx", "S 220-2024")</f>
        <v/>
      </c>
      <c r="Z2">
        <f>HYPERLINK("https://klasma.github.io/Logging_1884/klagomålsmail/S 220-2024 FSC-klagomål mail.docx", "S 220-2024")</f>
        <v/>
      </c>
      <c r="AA2">
        <f>HYPERLINK("https://klasma.github.io/Logging_1884/tillsyn/S 220-2024 tillsynsbegäran.docx", "S 220-2024")</f>
        <v/>
      </c>
      <c r="AB2">
        <f>HYPERLINK("https://klasma.github.io/Logging_1884/tillsynsmail/S 220-2024 tillsynsbegäran mail.docx", "S 220-2024")</f>
        <v/>
      </c>
      <c r="AC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46221</v>
      </c>
      <c r="F3" t="inlineStr">
        <is>
          <t>ÖREBRO LÄN</t>
        </is>
      </c>
      <c r="G3" t="inlineStr">
        <is>
          <t>NORA</t>
        </is>
      </c>
      <c r="I3" t="n">
        <v>3.6</v>
      </c>
      <c r="J3" t="n">
        <v>2</v>
      </c>
      <c r="K3" t="n">
        <v>16</v>
      </c>
      <c r="L3" t="n">
        <v>4</v>
      </c>
      <c r="M3" t="n">
        <v>2</v>
      </c>
      <c r="N3" t="n">
        <v>1</v>
      </c>
      <c r="O3" t="n">
        <v>0</v>
      </c>
      <c r="P3" t="n">
        <v>0</v>
      </c>
      <c r="Q3" t="n">
        <v>7</v>
      </c>
      <c r="R3" t="n">
        <v>3</v>
      </c>
      <c r="S3" t="n">
        <v>25</v>
      </c>
      <c r="T3" t="n">
        <v>54</v>
      </c>
      <c r="U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3">
        <f>HYPERLINK("https://klasma.github.io/Logging_1884/artfynd/A 28150-2026 artfynd.xlsx", "A 28150-2026")</f>
        <v/>
      </c>
      <c r="W3">
        <f>HYPERLINK("https://klasma.github.io/Logging_1884/kartor/A 28150-2026 karta.png", "A 28150-2026")</f>
        <v/>
      </c>
      <c r="Y3">
        <f>HYPERLINK("https://klasma.github.io/Logging_1884/klagomål/A 28150-2026 FSC-klagomål.docx", "A 28150-2026")</f>
        <v/>
      </c>
      <c r="Z3">
        <f>HYPERLINK("https://klasma.github.io/Logging_1884/klagomålsmail/A 28150-2026 FSC-klagomål mail.docx", "A 28150-2026")</f>
        <v/>
      </c>
      <c r="AA3">
        <f>HYPERLINK("https://klasma.github.io/Logging_1884/tillsyn/A 28150-2026 tillsynsbegäran.docx", "A 28150-2026")</f>
        <v/>
      </c>
      <c r="AB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46221</v>
      </c>
      <c r="F4" t="inlineStr">
        <is>
          <t>ÖREBRO LÄN</t>
        </is>
      </c>
      <c r="G4" t="inlineStr">
        <is>
          <t>NORA</t>
        </is>
      </c>
      <c r="I4" t="n">
        <v>2.2</v>
      </c>
      <c r="J4" t="n">
        <v>2</v>
      </c>
      <c r="K4" t="n">
        <v>16</v>
      </c>
      <c r="L4" t="n">
        <v>4</v>
      </c>
      <c r="M4" t="n">
        <v>1</v>
      </c>
      <c r="N4" t="n">
        <v>1</v>
      </c>
      <c r="O4" t="n">
        <v>0</v>
      </c>
      <c r="P4" t="n">
        <v>0</v>
      </c>
      <c r="Q4" t="n">
        <v>6</v>
      </c>
      <c r="R4" t="n">
        <v>2</v>
      </c>
      <c r="S4" t="n">
        <v>24</v>
      </c>
      <c r="T4" t="n">
        <v>52</v>
      </c>
      <c r="U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4">
        <f>HYPERLINK("https://klasma.github.io/Logging_1884/artfynd/A 63533-2025 artfynd.xlsx", "A 63533-2025")</f>
        <v/>
      </c>
      <c r="W4">
        <f>HYPERLINK("https://klasma.github.io/Logging_1884/kartor/A 63533-2025 karta.png", "A 63533-2025")</f>
        <v/>
      </c>
      <c r="Y4">
        <f>HYPERLINK("https://klasma.github.io/Logging_1884/klagomål/A 63533-2025 FSC-klagomål.docx", "A 63533-2025")</f>
        <v/>
      </c>
      <c r="Z4">
        <f>HYPERLINK("https://klasma.github.io/Logging_1884/klagomålsmail/A 63533-2025 FSC-klagomål mail.docx", "A 63533-2025")</f>
        <v/>
      </c>
      <c r="AA4">
        <f>HYPERLINK("https://klasma.github.io/Logging_1884/tillsyn/A 63533-2025 tillsynsbegäran.docx", "A 63533-2025")</f>
        <v/>
      </c>
      <c r="AB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46221</v>
      </c>
      <c r="F5" t="inlineStr">
        <is>
          <t>ÖREBRO LÄN</t>
        </is>
      </c>
      <c r="G5" t="inlineStr">
        <is>
          <t>NORA</t>
        </is>
      </c>
      <c r="I5" t="n">
        <v>1</v>
      </c>
      <c r="J5" t="n">
        <v>1</v>
      </c>
      <c r="K5" t="n">
        <v>14</v>
      </c>
      <c r="L5" t="n">
        <v>1</v>
      </c>
      <c r="M5" t="n">
        <v>1</v>
      </c>
      <c r="N5" t="n">
        <v>1</v>
      </c>
      <c r="O5" t="n">
        <v>0</v>
      </c>
      <c r="P5" t="n">
        <v>0</v>
      </c>
      <c r="Q5" t="n">
        <v>3</v>
      </c>
      <c r="R5" t="n">
        <v>2</v>
      </c>
      <c r="S5" t="n">
        <v>18</v>
      </c>
      <c r="T5" t="n">
        <v>31</v>
      </c>
      <c r="U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5">
        <f>HYPERLINK("https://klasma.github.io/Logging_1884/artfynd/A 63531-2025 artfynd.xlsx", "A 63531-2025")</f>
        <v/>
      </c>
      <c r="W5">
        <f>HYPERLINK("https://klasma.github.io/Logging_1884/kartor/A 63531-2025 karta.png", "A 63531-2025")</f>
        <v/>
      </c>
      <c r="Y5">
        <f>HYPERLINK("https://klasma.github.io/Logging_1884/klagomål/A 63531-2025 FSC-klagomål.docx", "A 63531-2025")</f>
        <v/>
      </c>
      <c r="Z5">
        <f>HYPERLINK("https://klasma.github.io/Logging_1884/klagomålsmail/A 63531-2025 FSC-klagomål mail.docx", "A 63531-2025")</f>
        <v/>
      </c>
      <c r="AA5">
        <f>HYPERLINK("https://klasma.github.io/Logging_1884/tillsyn/A 63531-2025 tillsynsbegäran.docx", "A 63531-2025")</f>
        <v/>
      </c>
      <c r="AB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46221</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s="2" t="inlineStr">
        <is>
          <t>Flodkräfta
Ask
Garnlav
Orange taggsvamp
Tallticka
Gulnande spindling
Korthornad vedstekel
Järpe
Mattlummer
Tjäder
Orre
Fläcknycklar
Revlummer</t>
        </is>
      </c>
      <c r="V6">
        <f>HYPERLINK("https://klasma.github.io/Logging_1884/artfynd/S 316-2024 artfynd.xlsx", "S 316-2024")</f>
        <v/>
      </c>
      <c r="W6">
        <f>HYPERLINK("https://klasma.github.io/Logging_1884/kartor/S 316-2024 karta.png", "S 316-2024")</f>
        <v/>
      </c>
      <c r="Y6">
        <f>HYPERLINK("https://klasma.github.io/Logging_1884/klagomål/S 316-2024 FSC-klagomål.docx", "S 316-2024")</f>
        <v/>
      </c>
      <c r="Z6">
        <f>HYPERLINK("https://klasma.github.io/Logging_1884/klagomålsmail/S 316-2024 FSC-klagomål mail.docx", "S 316-2024")</f>
        <v/>
      </c>
      <c r="AA6">
        <f>HYPERLINK("https://klasma.github.io/Logging_1884/tillsyn/S 316-2024 tillsynsbegäran.docx", "S 316-2024")</f>
        <v/>
      </c>
      <c r="AB6">
        <f>HYPERLINK("https://klasma.github.io/Logging_1884/tillsynsmail/S 316-2024 tillsynsbegäran mail.docx", "S 316-2024")</f>
        <v/>
      </c>
      <c r="AC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46221</v>
      </c>
      <c r="F7" t="inlineStr">
        <is>
          <t>ÖREBRO LÄN</t>
        </is>
      </c>
      <c r="G7" t="inlineStr">
        <is>
          <t>NORA</t>
        </is>
      </c>
      <c r="I7" t="n">
        <v>0.8</v>
      </c>
      <c r="J7" t="n">
        <v>1</v>
      </c>
      <c r="K7" t="n">
        <v>9</v>
      </c>
      <c r="L7" t="n">
        <v>0</v>
      </c>
      <c r="M7" t="n">
        <v>1</v>
      </c>
      <c r="N7" t="n">
        <v>1</v>
      </c>
      <c r="O7" t="n">
        <v>0</v>
      </c>
      <c r="P7" t="n">
        <v>0</v>
      </c>
      <c r="Q7" t="n">
        <v>2</v>
      </c>
      <c r="R7" t="n">
        <v>2</v>
      </c>
      <c r="S7" t="n">
        <v>12</v>
      </c>
      <c r="T7" t="n">
        <v>17</v>
      </c>
      <c r="U7" s="2" t="inlineStr">
        <is>
          <t>Ask
Ängsblåvinge
Grov fjädermossa
Olivspindling
Platt fjädermossa
Skogshakmossa
Strutbräken
Stubbspretmossa
Svavelriska
Tibast
Trubbfjädermossa
Blåsippa</t>
        </is>
      </c>
      <c r="V7">
        <f>HYPERLINK("https://klasma.github.io/Logging_1884/artfynd/A 40082-2025 artfynd.xlsx", "A 40082-2025")</f>
        <v/>
      </c>
      <c r="W7">
        <f>HYPERLINK("https://klasma.github.io/Logging_1884/kartor/A 40082-2025 karta.png", "A 40082-2025")</f>
        <v/>
      </c>
      <c r="Y7">
        <f>HYPERLINK("https://klasma.github.io/Logging_1884/klagomål/A 40082-2025 FSC-klagomål.docx", "A 40082-2025")</f>
        <v/>
      </c>
      <c r="Z7">
        <f>HYPERLINK("https://klasma.github.io/Logging_1884/klagomålsmail/A 40082-2025 FSC-klagomål mail.docx", "A 40082-2025")</f>
        <v/>
      </c>
      <c r="AA7">
        <f>HYPERLINK("https://klasma.github.io/Logging_1884/tillsyn/A 40082-2025 tillsynsbegäran.docx", "A 40082-2025")</f>
        <v/>
      </c>
      <c r="AB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46221</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s="2" t="inlineStr">
        <is>
          <t>Ask
Loppstarr
Purpurknipprot
Skogsknipprot
Svart trolldruva
Tibast
Tvåblad
Blåsippa
Mattlummer
Spillkråka</t>
        </is>
      </c>
      <c r="V8">
        <f>HYPERLINK("https://klasma.github.io/Logging_1884/artfynd/A 44844-2022 artfynd.xlsx", "A 44844-2022")</f>
        <v/>
      </c>
      <c r="W8">
        <f>HYPERLINK("https://klasma.github.io/Logging_1884/kartor/A 44844-2022 karta.png", "A 44844-2022")</f>
        <v/>
      </c>
      <c r="Y8">
        <f>HYPERLINK("https://klasma.github.io/Logging_1884/klagomål/A 44844-2022 FSC-klagomål.docx", "A 44844-2022")</f>
        <v/>
      </c>
      <c r="Z8">
        <f>HYPERLINK("https://klasma.github.io/Logging_1884/klagomålsmail/A 44844-2022 FSC-klagomål mail.docx", "A 44844-2022")</f>
        <v/>
      </c>
      <c r="AA8">
        <f>HYPERLINK("https://klasma.github.io/Logging_1884/tillsyn/A 44844-2022 tillsynsbegäran.docx", "A 44844-2022")</f>
        <v/>
      </c>
      <c r="AB8">
        <f>HYPERLINK("https://klasma.github.io/Logging_1884/tillsynsmail/A 44844-2022 tillsynsbegäran mail.docx", "A 44844-2022")</f>
        <v/>
      </c>
      <c r="AC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46221</v>
      </c>
      <c r="F9" t="inlineStr">
        <is>
          <t>ÖREBRO LÄN</t>
        </is>
      </c>
      <c r="G9" t="inlineStr">
        <is>
          <t>NORA</t>
        </is>
      </c>
      <c r="I9" t="n">
        <v>1.6</v>
      </c>
      <c r="J9" t="n">
        <v>3</v>
      </c>
      <c r="K9" t="n">
        <v>3</v>
      </c>
      <c r="L9" t="n">
        <v>3</v>
      </c>
      <c r="M9" t="n">
        <v>0</v>
      </c>
      <c r="N9" t="n">
        <v>0</v>
      </c>
      <c r="O9" t="n">
        <v>0</v>
      </c>
      <c r="P9" t="n">
        <v>0</v>
      </c>
      <c r="Q9" t="n">
        <v>3</v>
      </c>
      <c r="R9" t="n">
        <v>0</v>
      </c>
      <c r="S9" t="n">
        <v>9</v>
      </c>
      <c r="T9" t="n">
        <v>11</v>
      </c>
      <c r="U9" s="2" t="inlineStr">
        <is>
          <t>Dropptaggsvamp
Motaggsvamp
Orange taggsvamp
Mindre märgborre
Rostfläck
Vedticka
Spillkråka
Tjäder
Fläcknycklar</t>
        </is>
      </c>
      <c r="V9">
        <f>HYPERLINK("https://klasma.github.io/Logging_1884/artfynd/A 44952-2021 artfynd.xlsx", "A 44952-2021")</f>
        <v/>
      </c>
      <c r="W9">
        <f>HYPERLINK("https://klasma.github.io/Logging_1884/kartor/A 44952-2021 karta.png", "A 44952-2021")</f>
        <v/>
      </c>
      <c r="Y9">
        <f>HYPERLINK("https://klasma.github.io/Logging_1884/klagomål/A 44952-2021 FSC-klagomål.docx", "A 44952-2021")</f>
        <v/>
      </c>
      <c r="Z9">
        <f>HYPERLINK("https://klasma.github.io/Logging_1884/klagomålsmail/A 44952-2021 FSC-klagomål mail.docx", "A 44952-2021")</f>
        <v/>
      </c>
      <c r="AA9">
        <f>HYPERLINK("https://klasma.github.io/Logging_1884/tillsyn/A 44952-2021 tillsynsbegäran.docx", "A 44952-2021")</f>
        <v/>
      </c>
      <c r="AB9">
        <f>HYPERLINK("https://klasma.github.io/Logging_1884/tillsynsmail/A 44952-2021 tillsynsbegäran mail.docx", "A 44952-2021")</f>
        <v/>
      </c>
      <c r="AC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46221</v>
      </c>
      <c r="F10" t="inlineStr">
        <is>
          <t>ÖREBRO LÄN</t>
        </is>
      </c>
      <c r="G10" t="inlineStr">
        <is>
          <t>NORA</t>
        </is>
      </c>
      <c r="I10" t="n">
        <v>14</v>
      </c>
      <c r="J10" t="n">
        <v>5</v>
      </c>
      <c r="K10" t="n">
        <v>1</v>
      </c>
      <c r="L10" t="n">
        <v>3</v>
      </c>
      <c r="M10" t="n">
        <v>1</v>
      </c>
      <c r="N10" t="n">
        <v>0</v>
      </c>
      <c r="O10" t="n">
        <v>0</v>
      </c>
      <c r="P10" t="n">
        <v>0</v>
      </c>
      <c r="Q10" t="n">
        <v>4</v>
      </c>
      <c r="R10" t="n">
        <v>1</v>
      </c>
      <c r="S10" t="n">
        <v>9</v>
      </c>
      <c r="T10" t="n">
        <v>20</v>
      </c>
      <c r="U10" s="2" t="inlineStr">
        <is>
          <t>Garnlav
Dropptaggsvamp
Motaggsvamp
Talltita
Grovticka
Mattlummer
Spillkråka
Gröngöling
Kungsfågel</t>
        </is>
      </c>
      <c r="V10">
        <f>HYPERLINK("https://klasma.github.io/Logging_1884/artfynd/A 57511-2025 artfynd.xlsx", "A 57511-2025")</f>
        <v/>
      </c>
      <c r="W10">
        <f>HYPERLINK("https://klasma.github.io/Logging_1884/kartor/A 57511-2025 karta.png", "A 57511-2025")</f>
        <v/>
      </c>
      <c r="Y10">
        <f>HYPERLINK("https://klasma.github.io/Logging_1884/klagomål/A 57511-2025 FSC-klagomål.docx", "A 57511-2025")</f>
        <v/>
      </c>
      <c r="Z10">
        <f>HYPERLINK("https://klasma.github.io/Logging_1884/klagomålsmail/A 57511-2025 FSC-klagomål mail.docx", "A 57511-2025")</f>
        <v/>
      </c>
      <c r="AA10">
        <f>HYPERLINK("https://klasma.github.io/Logging_1884/tillsyn/A 57511-2025 tillsynsbegäran.docx", "A 57511-2025")</f>
        <v/>
      </c>
      <c r="AB10">
        <f>HYPERLINK("https://klasma.github.io/Logging_1884/tillsynsmail/A 57511-2025 tillsynsbegäran mail.docx", "A 57511-2025")</f>
        <v/>
      </c>
      <c r="AC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46221</v>
      </c>
      <c r="F11" t="inlineStr">
        <is>
          <t>ÖREBRO LÄN</t>
        </is>
      </c>
      <c r="G11" t="inlineStr">
        <is>
          <t>NORA</t>
        </is>
      </c>
      <c r="I11" t="n">
        <v>4.6</v>
      </c>
      <c r="J11" t="n">
        <v>3</v>
      </c>
      <c r="K11" t="n">
        <v>3</v>
      </c>
      <c r="L11" t="n">
        <v>3</v>
      </c>
      <c r="M11" t="n">
        <v>0</v>
      </c>
      <c r="N11" t="n">
        <v>0</v>
      </c>
      <c r="O11" t="n">
        <v>0</v>
      </c>
      <c r="P11" t="n">
        <v>0</v>
      </c>
      <c r="Q11" t="n">
        <v>3</v>
      </c>
      <c r="R11" t="n">
        <v>0</v>
      </c>
      <c r="S11" t="n">
        <v>9</v>
      </c>
      <c r="T11" t="n">
        <v>18</v>
      </c>
      <c r="U11" s="2" t="inlineStr">
        <is>
          <t>Dropptaggsvamp
Motaggsvamp
Orange taggsvamp
Mindre märgborre
Rostfläck
Vedticka
Spillkråka
Tjäder
Fläcknycklar</t>
        </is>
      </c>
      <c r="V11">
        <f>HYPERLINK("https://klasma.github.io/Logging_1884/artfynd/A 16286-2026 artfynd.xlsx", "A 16286-2026")</f>
        <v/>
      </c>
      <c r="W11">
        <f>HYPERLINK("https://klasma.github.io/Logging_1884/kartor/A 16286-2026 karta.png", "A 16286-2026")</f>
        <v/>
      </c>
      <c r="Y11">
        <f>HYPERLINK("https://klasma.github.io/Logging_1884/klagomål/A 16286-2026 FSC-klagomål.docx", "A 16286-2026")</f>
        <v/>
      </c>
      <c r="Z11">
        <f>HYPERLINK("https://klasma.github.io/Logging_1884/klagomålsmail/A 16286-2026 FSC-klagomål mail.docx", "A 16286-2026")</f>
        <v/>
      </c>
      <c r="AA11">
        <f>HYPERLINK("https://klasma.github.io/Logging_1884/tillsyn/A 16286-2026 tillsynsbegäran.docx", "A 16286-2026")</f>
        <v/>
      </c>
      <c r="AB11">
        <f>HYPERLINK("https://klasma.github.io/Logging_1884/tillsynsmail/A 16286-2026 tillsynsbegäran mail.docx", "A 16286-2026")</f>
        <v/>
      </c>
      <c r="AC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46221</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s="2" t="inlineStr">
        <is>
          <t>Flodpärlmussla
Grusnejlika
Fältgentiana
Dofttaggsvamp
Järnsparv
Loppstarr
Talltita
Stor revmossa
Sångsvan</t>
        </is>
      </c>
      <c r="V12">
        <f>HYPERLINK("https://klasma.github.io/Logging_1884/artfynd/S 1176-2022 artfynd.xlsx", "S 1176-2022")</f>
        <v/>
      </c>
      <c r="W12">
        <f>HYPERLINK("https://klasma.github.io/Logging_1884/kartor/S 1176-2022 karta.png", "S 1176-2022")</f>
        <v/>
      </c>
      <c r="Y12">
        <f>HYPERLINK("https://klasma.github.io/Logging_1884/klagomål/S 1176-2022 FSC-klagomål.docx", "S 1176-2022")</f>
        <v/>
      </c>
      <c r="Z12">
        <f>HYPERLINK("https://klasma.github.io/Logging_1884/klagomålsmail/S 1176-2022 FSC-klagomål mail.docx", "S 1176-2022")</f>
        <v/>
      </c>
      <c r="AA12">
        <f>HYPERLINK("https://klasma.github.io/Logging_1884/tillsyn/S 1176-2022 tillsynsbegäran.docx", "S 1176-2022")</f>
        <v/>
      </c>
      <c r="AB12">
        <f>HYPERLINK("https://klasma.github.io/Logging_1884/tillsynsmail/S 1176-2022 tillsynsbegäran mail.docx", "S 1176-2022")</f>
        <v/>
      </c>
      <c r="AC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46221</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s="2" t="inlineStr">
        <is>
          <t>Storspov
Stare
Tofsvipa
Enkelbeckasin
Skrattmås
Sädesärla
Tibast
Trana</t>
        </is>
      </c>
      <c r="V13">
        <f>HYPERLINK("https://klasma.github.io/Logging_1884/artfynd/A 55852-2024 artfynd.xlsx", "A 55852-2024")</f>
        <v/>
      </c>
      <c r="W13">
        <f>HYPERLINK("https://klasma.github.io/Logging_1884/kartor/A 55852-2024 karta.png", "A 55852-2024")</f>
        <v/>
      </c>
      <c r="Y13">
        <f>HYPERLINK("https://klasma.github.io/Logging_1884/klagomål/A 55852-2024 FSC-klagomål.docx", "A 55852-2024")</f>
        <v/>
      </c>
      <c r="Z13">
        <f>HYPERLINK("https://klasma.github.io/Logging_1884/klagomålsmail/A 55852-2024 FSC-klagomål mail.docx", "A 55852-2024")</f>
        <v/>
      </c>
      <c r="AA13">
        <f>HYPERLINK("https://klasma.github.io/Logging_1884/tillsyn/A 55852-2024 tillsynsbegäran.docx", "A 55852-2024")</f>
        <v/>
      </c>
      <c r="AB13">
        <f>HYPERLINK("https://klasma.github.io/Logging_1884/tillsynsmail/A 55852-2024 tillsynsbegäran mail.docx", "A 55852-2024")</f>
        <v/>
      </c>
      <c r="AC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46221</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s="2" t="inlineStr">
        <is>
          <t>Motaggsvamp
Tretåig hackspett
Ullticka
Bronshjon
Mindre märgborre
Thomsons trägnagare
Spillkråka
Tjäder</t>
        </is>
      </c>
      <c r="V14">
        <f>HYPERLINK("https://klasma.github.io/Logging_1884/artfynd/A 14567-2026 artfynd.xlsx", "A 14567-2026")</f>
        <v/>
      </c>
      <c r="W14">
        <f>HYPERLINK("https://klasma.github.io/Logging_1884/kartor/A 14567-2026 karta.png", "A 14567-2026")</f>
        <v/>
      </c>
      <c r="Y14">
        <f>HYPERLINK("https://klasma.github.io/Logging_1884/klagomål/A 14567-2026 FSC-klagomål.docx", "A 14567-2026")</f>
        <v/>
      </c>
      <c r="Z14">
        <f>HYPERLINK("https://klasma.github.io/Logging_1884/klagomålsmail/A 14567-2026 FSC-klagomål mail.docx", "A 14567-2026")</f>
        <v/>
      </c>
      <c r="AA14">
        <f>HYPERLINK("https://klasma.github.io/Logging_1884/tillsyn/A 14567-2026 tillsynsbegäran.docx", "A 14567-2026")</f>
        <v/>
      </c>
      <c r="AB14">
        <f>HYPERLINK("https://klasma.github.io/Logging_1884/tillsynsmail/A 14567-2026 tillsynsbegäran mail.docx", "A 14567-2026")</f>
        <v/>
      </c>
      <c r="AC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46221</v>
      </c>
      <c r="F15" t="inlineStr">
        <is>
          <t>ÖREBRO LÄN</t>
        </is>
      </c>
      <c r="G15" t="inlineStr">
        <is>
          <t>NORA</t>
        </is>
      </c>
      <c r="I15" t="n">
        <v>26</v>
      </c>
      <c r="J15" t="n">
        <v>3</v>
      </c>
      <c r="K15" t="n">
        <v>3</v>
      </c>
      <c r="L15" t="n">
        <v>3</v>
      </c>
      <c r="M15" t="n">
        <v>0</v>
      </c>
      <c r="N15" t="n">
        <v>0</v>
      </c>
      <c r="O15" t="n">
        <v>0</v>
      </c>
      <c r="P15" t="n">
        <v>0</v>
      </c>
      <c r="Q15" t="n">
        <v>3</v>
      </c>
      <c r="R15" t="n">
        <v>0</v>
      </c>
      <c r="S15" t="n">
        <v>8</v>
      </c>
      <c r="T15" t="n">
        <v>21</v>
      </c>
      <c r="U15" s="2" t="inlineStr">
        <is>
          <t>Motaggsvamp
Tretåig hackspett
Ullticka
Bronshjon
Mindre märgborre
Thomsons trägnagare
Spillkråka
Tjäder</t>
        </is>
      </c>
      <c r="V15">
        <f>HYPERLINK("https://klasma.github.io/Logging_1884/artfynd/A 25610-2026 artfynd.xlsx", "A 25610-2026")</f>
        <v/>
      </c>
      <c r="W15">
        <f>HYPERLINK("https://klasma.github.io/Logging_1884/kartor/A 25610-2026 karta.png", "A 25610-2026")</f>
        <v/>
      </c>
      <c r="Y15">
        <f>HYPERLINK("https://klasma.github.io/Logging_1884/klagomål/A 25610-2026 FSC-klagomål.docx", "A 25610-2026")</f>
        <v/>
      </c>
      <c r="Z15">
        <f>HYPERLINK("https://klasma.github.io/Logging_1884/klagomålsmail/A 25610-2026 FSC-klagomål mail.docx", "A 25610-2026")</f>
        <v/>
      </c>
      <c r="AA15">
        <f>HYPERLINK("https://klasma.github.io/Logging_1884/tillsyn/A 25610-2026 tillsynsbegäran.docx", "A 25610-2026")</f>
        <v/>
      </c>
      <c r="AB15">
        <f>HYPERLINK("https://klasma.github.io/Logging_1884/tillsynsmail/A 25610-2026 tillsynsbegäran mail.docx", "A 25610-2026")</f>
        <v/>
      </c>
      <c r="AC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46221</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s="2" t="inlineStr">
        <is>
          <t>Orange taggsvamp
Tallticka
Smal svampklubba
Spillkråka
Lopplummer (aggregat)
Äkta lopplummer</t>
        </is>
      </c>
      <c r="V16">
        <f>HYPERLINK("https://klasma.github.io/Logging_1884/artfynd/A 33136-2025 artfynd.xlsx", "A 33136-2025")</f>
        <v/>
      </c>
      <c r="W16">
        <f>HYPERLINK("https://klasma.github.io/Logging_1884/kartor/A 33136-2025 karta.png", "A 33136-2025")</f>
        <v/>
      </c>
      <c r="Y16">
        <f>HYPERLINK("https://klasma.github.io/Logging_1884/klagomål/A 33136-2025 FSC-klagomål.docx", "A 33136-2025")</f>
        <v/>
      </c>
      <c r="Z16">
        <f>HYPERLINK("https://klasma.github.io/Logging_1884/klagomålsmail/A 33136-2025 FSC-klagomål mail.docx", "A 33136-2025")</f>
        <v/>
      </c>
      <c r="AA16">
        <f>HYPERLINK("https://klasma.github.io/Logging_1884/tillsyn/A 33136-2025 tillsynsbegäran.docx", "A 33136-2025")</f>
        <v/>
      </c>
      <c r="AB16">
        <f>HYPERLINK("https://klasma.github.io/Logging_1884/tillsynsmail/A 33136-2025 tillsynsbegäran mail.docx", "A 33136-2025")</f>
        <v/>
      </c>
      <c r="AC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46221</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s="2" t="inlineStr">
        <is>
          <t>Dropptaggsvamp
Tretåig hackspett
Bronshjon
Gullgröppa
Spillkråka
Kungsfågel</t>
        </is>
      </c>
      <c r="V17">
        <f>HYPERLINK("https://klasma.github.io/Logging_1884/artfynd/A 56956-2025 artfynd.xlsx", "A 56956-2025")</f>
        <v/>
      </c>
      <c r="W17">
        <f>HYPERLINK("https://klasma.github.io/Logging_1884/kartor/A 56956-2025 karta.png", "A 56956-2025")</f>
        <v/>
      </c>
      <c r="Y17">
        <f>HYPERLINK("https://klasma.github.io/Logging_1884/klagomål/A 56956-2025 FSC-klagomål.docx", "A 56956-2025")</f>
        <v/>
      </c>
      <c r="Z17">
        <f>HYPERLINK("https://klasma.github.io/Logging_1884/klagomålsmail/A 56956-2025 FSC-klagomål mail.docx", "A 56956-2025")</f>
        <v/>
      </c>
      <c r="AA17">
        <f>HYPERLINK("https://klasma.github.io/Logging_1884/tillsyn/A 56956-2025 tillsynsbegäran.docx", "A 56956-2025")</f>
        <v/>
      </c>
      <c r="AB17">
        <f>HYPERLINK("https://klasma.github.io/Logging_1884/tillsynsmail/A 56956-2025 tillsynsbegäran mail.docx", "A 56956-2025")</f>
        <v/>
      </c>
      <c r="AC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46221</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s="2" t="inlineStr">
        <is>
          <t>Brunklöver
Drillsnäppa
Gulsparv
Kungsfågel
Grönvit nattviol</t>
        </is>
      </c>
      <c r="V18">
        <f>HYPERLINK("https://klasma.github.io/Logging_1884/artfynd/A 60839-2021 artfynd.xlsx", "A 60839-2021")</f>
        <v/>
      </c>
      <c r="W18">
        <f>HYPERLINK("https://klasma.github.io/Logging_1884/kartor/A 60839-2021 karta.png", "A 60839-2021")</f>
        <v/>
      </c>
      <c r="Y18">
        <f>HYPERLINK("https://klasma.github.io/Logging_1884/klagomål/A 60839-2021 FSC-klagomål.docx", "A 60839-2021")</f>
        <v/>
      </c>
      <c r="Z18">
        <f>HYPERLINK("https://klasma.github.io/Logging_1884/klagomålsmail/A 60839-2021 FSC-klagomål mail.docx", "A 60839-2021")</f>
        <v/>
      </c>
      <c r="AA18">
        <f>HYPERLINK("https://klasma.github.io/Logging_1884/tillsyn/A 60839-2021 tillsynsbegäran.docx", "A 60839-2021")</f>
        <v/>
      </c>
      <c r="AB18">
        <f>HYPERLINK("https://klasma.github.io/Logging_1884/tillsynsmail/A 60839-2021 tillsynsbegäran mail.docx", "A 60839-2021")</f>
        <v/>
      </c>
      <c r="AC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46221</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s="2" t="inlineStr">
        <is>
          <t>Flodpärlmussla
Stare
Björktrast
Hultbräken
Utter</t>
        </is>
      </c>
      <c r="V19">
        <f>HYPERLINK("https://klasma.github.io/Logging_1884/artfynd/A 39513-2025 artfynd.xlsx", "A 39513-2025")</f>
        <v/>
      </c>
      <c r="W19">
        <f>HYPERLINK("https://klasma.github.io/Logging_1884/kartor/A 39513-2025 karta.png", "A 39513-2025")</f>
        <v/>
      </c>
      <c r="Y19">
        <f>HYPERLINK("https://klasma.github.io/Logging_1884/klagomål/A 39513-2025 FSC-klagomål.docx", "A 39513-2025")</f>
        <v/>
      </c>
      <c r="Z19">
        <f>HYPERLINK("https://klasma.github.io/Logging_1884/klagomålsmail/A 39513-2025 FSC-klagomål mail.docx", "A 39513-2025")</f>
        <v/>
      </c>
      <c r="AA19">
        <f>HYPERLINK("https://klasma.github.io/Logging_1884/tillsyn/A 39513-2025 tillsynsbegäran.docx", "A 39513-2025")</f>
        <v/>
      </c>
      <c r="AB19">
        <f>HYPERLINK("https://klasma.github.io/Logging_1884/tillsynsmail/A 39513-2025 tillsynsbegäran mail.docx", "A 39513-2025")</f>
        <v/>
      </c>
      <c r="AC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46221</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s="2" t="inlineStr">
        <is>
          <t>Flodpärlmussla
Stare
Björktrast
Hultbräken
Utter</t>
        </is>
      </c>
      <c r="V20">
        <f>HYPERLINK("https://klasma.github.io/Logging_1884/artfynd/A 53600-2025 artfynd.xlsx", "A 53600-2025")</f>
        <v/>
      </c>
      <c r="W20">
        <f>HYPERLINK("https://klasma.github.io/Logging_1884/kartor/A 53600-2025 karta.png", "A 53600-2025")</f>
        <v/>
      </c>
      <c r="Y20">
        <f>HYPERLINK("https://klasma.github.io/Logging_1884/klagomål/A 53600-2025 FSC-klagomål.docx", "A 53600-2025")</f>
        <v/>
      </c>
      <c r="Z20">
        <f>HYPERLINK("https://klasma.github.io/Logging_1884/klagomålsmail/A 53600-2025 FSC-klagomål mail.docx", "A 53600-2025")</f>
        <v/>
      </c>
      <c r="AA20">
        <f>HYPERLINK("https://klasma.github.io/Logging_1884/tillsyn/A 53600-2025 tillsynsbegäran.docx", "A 53600-2025")</f>
        <v/>
      </c>
      <c r="AB20">
        <f>HYPERLINK("https://klasma.github.io/Logging_1884/tillsynsmail/A 53600-2025 tillsynsbegäran mail.docx", "A 53600-2025")</f>
        <v/>
      </c>
      <c r="AC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46221</v>
      </c>
      <c r="F21" t="inlineStr">
        <is>
          <t>ÖREBRO LÄN</t>
        </is>
      </c>
      <c r="G21" t="inlineStr">
        <is>
          <t>NORA</t>
        </is>
      </c>
      <c r="I21" t="n">
        <v>1.9</v>
      </c>
      <c r="J21" t="n">
        <v>1</v>
      </c>
      <c r="K21" t="n">
        <v>3</v>
      </c>
      <c r="L21" t="n">
        <v>0</v>
      </c>
      <c r="M21" t="n">
        <v>1</v>
      </c>
      <c r="N21" t="n">
        <v>0</v>
      </c>
      <c r="O21" t="n">
        <v>0</v>
      </c>
      <c r="P21" t="n">
        <v>0</v>
      </c>
      <c r="Q21" t="n">
        <v>1</v>
      </c>
      <c r="R21" t="n">
        <v>1</v>
      </c>
      <c r="S21" t="n">
        <v>5</v>
      </c>
      <c r="T21" t="n">
        <v>7</v>
      </c>
      <c r="U21" s="2" t="inlineStr">
        <is>
          <t>Kryddtofsskivling
Gulvaxing
Hagfingersvamp
Toppvaxing
Blåsippa</t>
        </is>
      </c>
      <c r="V21">
        <f>HYPERLINK("https://klasma.github.io/Logging_1884/artfynd/A 63535-2025 artfynd.xlsx", "A 63535-2025")</f>
        <v/>
      </c>
      <c r="W21">
        <f>HYPERLINK("https://klasma.github.io/Logging_1884/kartor/A 63535-2025 karta.png", "A 63535-2025")</f>
        <v/>
      </c>
      <c r="Y21">
        <f>HYPERLINK("https://klasma.github.io/Logging_1884/klagomål/A 63535-2025 FSC-klagomål.docx", "A 63535-2025")</f>
        <v/>
      </c>
      <c r="Z21">
        <f>HYPERLINK("https://klasma.github.io/Logging_1884/klagomålsmail/A 63535-2025 FSC-klagomål mail.docx", "A 63535-2025")</f>
        <v/>
      </c>
      <c r="AA21">
        <f>HYPERLINK("https://klasma.github.io/Logging_1884/tillsyn/A 63535-2025 tillsynsbegäran.docx", "A 63535-2025")</f>
        <v/>
      </c>
      <c r="AB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46221</v>
      </c>
      <c r="F22" t="inlineStr">
        <is>
          <t>ÖREBRO LÄN</t>
        </is>
      </c>
      <c r="G22" t="inlineStr">
        <is>
          <t>NORA</t>
        </is>
      </c>
      <c r="I22" t="n">
        <v>1</v>
      </c>
      <c r="J22" t="n">
        <v>1</v>
      </c>
      <c r="K22" t="n">
        <v>3</v>
      </c>
      <c r="L22" t="n">
        <v>0</v>
      </c>
      <c r="M22" t="n">
        <v>0</v>
      </c>
      <c r="N22" t="n">
        <v>1</v>
      </c>
      <c r="O22" t="n">
        <v>0</v>
      </c>
      <c r="P22" t="n">
        <v>0</v>
      </c>
      <c r="Q22" t="n">
        <v>1</v>
      </c>
      <c r="R22" t="n">
        <v>1</v>
      </c>
      <c r="S22" t="n">
        <v>5</v>
      </c>
      <c r="T22" t="n">
        <v>8</v>
      </c>
      <c r="U22" s="2" t="inlineStr">
        <is>
          <t>Ask
Mörk husmossa
Skogshakmossa
Svart trolldruva
Blåsippa</t>
        </is>
      </c>
      <c r="V22">
        <f>HYPERLINK("https://klasma.github.io/Logging_1884/artfynd/A 63537-2025 artfynd.xlsx", "A 63537-2025")</f>
        <v/>
      </c>
      <c r="W22">
        <f>HYPERLINK("https://klasma.github.io/Logging_1884/kartor/A 63537-2025 karta.png", "A 63537-2025")</f>
        <v/>
      </c>
      <c r="Y22">
        <f>HYPERLINK("https://klasma.github.io/Logging_1884/klagomål/A 63537-2025 FSC-klagomål.docx", "A 63537-2025")</f>
        <v/>
      </c>
      <c r="Z22">
        <f>HYPERLINK("https://klasma.github.io/Logging_1884/klagomålsmail/A 63537-2025 FSC-klagomål mail.docx", "A 63537-2025")</f>
        <v/>
      </c>
      <c r="AA22">
        <f>HYPERLINK("https://klasma.github.io/Logging_1884/tillsyn/A 63537-2025 tillsynsbegäran.docx", "A 63537-2025")</f>
        <v/>
      </c>
      <c r="AB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46221</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s="2" t="inlineStr">
        <is>
          <t>Stjärntagging
Tretåig hackspett
Spillkråka
Tjäder
Kungsfågel</t>
        </is>
      </c>
      <c r="V23">
        <f>HYPERLINK("https://klasma.github.io/Logging_1884/artfynd/A 56950-2025 artfynd.xlsx", "A 56950-2025")</f>
        <v/>
      </c>
      <c r="W23">
        <f>HYPERLINK("https://klasma.github.io/Logging_1884/kartor/A 56950-2025 karta.png", "A 56950-2025")</f>
        <v/>
      </c>
      <c r="Y23">
        <f>HYPERLINK("https://klasma.github.io/Logging_1884/klagomål/A 56950-2025 FSC-klagomål.docx", "A 56950-2025")</f>
        <v/>
      </c>
      <c r="Z23">
        <f>HYPERLINK("https://klasma.github.io/Logging_1884/klagomålsmail/A 56950-2025 FSC-klagomål mail.docx", "A 56950-2025")</f>
        <v/>
      </c>
      <c r="AA23">
        <f>HYPERLINK("https://klasma.github.io/Logging_1884/tillsyn/A 56950-2025 tillsynsbegäran.docx", "A 56950-2025")</f>
        <v/>
      </c>
      <c r="AB23">
        <f>HYPERLINK("https://klasma.github.io/Logging_1884/tillsynsmail/A 56950-2025 tillsynsbegäran mail.docx", "A 56950-2025")</f>
        <v/>
      </c>
      <c r="AC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46221</v>
      </c>
      <c r="F24" t="inlineStr">
        <is>
          <t>ÖREBRO LÄN</t>
        </is>
      </c>
      <c r="G24" t="inlineStr">
        <is>
          <t>NORA</t>
        </is>
      </c>
      <c r="I24" t="n">
        <v>1.9</v>
      </c>
      <c r="J24" t="n">
        <v>3</v>
      </c>
      <c r="K24" t="n">
        <v>0</v>
      </c>
      <c r="L24" t="n">
        <v>2</v>
      </c>
      <c r="M24" t="n">
        <v>0</v>
      </c>
      <c r="N24" t="n">
        <v>0</v>
      </c>
      <c r="O24" t="n">
        <v>0</v>
      </c>
      <c r="P24" t="n">
        <v>0</v>
      </c>
      <c r="Q24" t="n">
        <v>2</v>
      </c>
      <c r="R24" t="n">
        <v>0</v>
      </c>
      <c r="S24" t="n">
        <v>3</v>
      </c>
      <c r="T24" t="n">
        <v>3</v>
      </c>
      <c r="U24" s="2" t="inlineStr">
        <is>
          <t>Skrattmås
Sädesärla
Trana</t>
        </is>
      </c>
      <c r="V24">
        <f>HYPERLINK("https://klasma.github.io/Logging_1884/artfynd/A 68610-2021 artfynd.xlsx", "A 68610-2021")</f>
        <v/>
      </c>
      <c r="W24">
        <f>HYPERLINK("https://klasma.github.io/Logging_1884/kartor/A 68610-2021 karta.png", "A 68610-2021")</f>
        <v/>
      </c>
      <c r="Y24">
        <f>HYPERLINK("https://klasma.github.io/Logging_1884/klagomål/A 68610-2021 FSC-klagomål.docx", "A 68610-2021")</f>
        <v/>
      </c>
      <c r="Z24">
        <f>HYPERLINK("https://klasma.github.io/Logging_1884/klagomålsmail/A 68610-2021 FSC-klagomål mail.docx", "A 68610-2021")</f>
        <v/>
      </c>
      <c r="AA24">
        <f>HYPERLINK("https://klasma.github.io/Logging_1884/tillsyn/A 68610-2021 tillsynsbegäran.docx", "A 68610-2021")</f>
        <v/>
      </c>
      <c r="AB24">
        <f>HYPERLINK("https://klasma.github.io/Logging_1884/tillsynsmail/A 68610-2021 tillsynsbegäran mail.docx", "A 68610-2021")</f>
        <v/>
      </c>
      <c r="AC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46221</v>
      </c>
      <c r="F25" t="inlineStr">
        <is>
          <t>ÖREBRO LÄN</t>
        </is>
      </c>
      <c r="G25" t="inlineStr">
        <is>
          <t>NORA</t>
        </is>
      </c>
      <c r="I25" t="n">
        <v>3.2</v>
      </c>
      <c r="J25" t="n">
        <v>0</v>
      </c>
      <c r="K25" t="n">
        <v>1</v>
      </c>
      <c r="L25" t="n">
        <v>2</v>
      </c>
      <c r="M25" t="n">
        <v>0</v>
      </c>
      <c r="N25" t="n">
        <v>0</v>
      </c>
      <c r="O25" t="n">
        <v>0</v>
      </c>
      <c r="P25" t="n">
        <v>0</v>
      </c>
      <c r="Q25" t="n">
        <v>2</v>
      </c>
      <c r="R25" t="n">
        <v>0</v>
      </c>
      <c r="S25" t="n">
        <v>3</v>
      </c>
      <c r="T25" t="n">
        <v>3</v>
      </c>
      <c r="U25" s="2" t="inlineStr">
        <is>
          <t>Loppstarr
Vårärt
Blåmossa</t>
        </is>
      </c>
      <c r="V25">
        <f>HYPERLINK("https://klasma.github.io/Logging_1884/artfynd/A 51036-2022 artfynd.xlsx", "A 51036-2022")</f>
        <v/>
      </c>
      <c r="W25">
        <f>HYPERLINK("https://klasma.github.io/Logging_1884/kartor/A 51036-2022 karta.png", "A 51036-2022")</f>
        <v/>
      </c>
      <c r="Y25">
        <f>HYPERLINK("https://klasma.github.io/Logging_1884/klagomål/A 51036-2022 FSC-klagomål.docx", "A 51036-2022")</f>
        <v/>
      </c>
      <c r="Z25">
        <f>HYPERLINK("https://klasma.github.io/Logging_1884/klagomålsmail/A 51036-2022 FSC-klagomål mail.docx", "A 51036-2022")</f>
        <v/>
      </c>
      <c r="AA25">
        <f>HYPERLINK("https://klasma.github.io/Logging_1884/tillsyn/A 51036-2022 tillsynsbegäran.docx", "A 51036-2022")</f>
        <v/>
      </c>
      <c r="AB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46221</v>
      </c>
      <c r="F26" t="inlineStr">
        <is>
          <t>ÖREBRO LÄN</t>
        </is>
      </c>
      <c r="G26" t="inlineStr">
        <is>
          <t>NORA</t>
        </is>
      </c>
      <c r="I26" t="n">
        <v>0.9</v>
      </c>
      <c r="J26" t="n">
        <v>1</v>
      </c>
      <c r="K26" t="n">
        <v>2</v>
      </c>
      <c r="L26" t="n">
        <v>0</v>
      </c>
      <c r="M26" t="n">
        <v>0</v>
      </c>
      <c r="N26" t="n">
        <v>0</v>
      </c>
      <c r="O26" t="n">
        <v>0</v>
      </c>
      <c r="P26" t="n">
        <v>0</v>
      </c>
      <c r="Q26" t="n">
        <v>0</v>
      </c>
      <c r="R26" t="n">
        <v>0</v>
      </c>
      <c r="S26" t="n">
        <v>3</v>
      </c>
      <c r="T26" t="n">
        <v>3</v>
      </c>
      <c r="U26" s="2" t="inlineStr">
        <is>
          <t>Bårdlav
Stuplav
Spillkråka</t>
        </is>
      </c>
      <c r="V26">
        <f>HYPERLINK("https://klasma.github.io/Logging_1884/artfynd/A 39837-2025 artfynd.xlsx", "A 39837-2025")</f>
        <v/>
      </c>
      <c r="W26">
        <f>HYPERLINK("https://klasma.github.io/Logging_1884/kartor/A 39837-2025 karta.png", "A 39837-2025")</f>
        <v/>
      </c>
      <c r="Y26">
        <f>HYPERLINK("https://klasma.github.io/Logging_1884/klagomål/A 39837-2025 FSC-klagomål.docx", "A 39837-2025")</f>
        <v/>
      </c>
      <c r="Z26">
        <f>HYPERLINK("https://klasma.github.io/Logging_1884/klagomålsmail/A 39837-2025 FSC-klagomål mail.docx", "A 39837-2025")</f>
        <v/>
      </c>
      <c r="AA26">
        <f>HYPERLINK("https://klasma.github.io/Logging_1884/tillsyn/A 39837-2025 tillsynsbegäran.docx", "A 39837-2025")</f>
        <v/>
      </c>
      <c r="AB26">
        <f>HYPERLINK("https://klasma.github.io/Logging_1884/tillsynsmail/A 39837-2025 tillsynsbegäran mail.docx", "A 39837-2025")</f>
        <v/>
      </c>
      <c r="AC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46221</v>
      </c>
      <c r="F27" t="inlineStr">
        <is>
          <t>ÖREBRO LÄN</t>
        </is>
      </c>
      <c r="G27" t="inlineStr">
        <is>
          <t>NORA</t>
        </is>
      </c>
      <c r="I27" t="n">
        <v>1.7</v>
      </c>
      <c r="J27" t="n">
        <v>0</v>
      </c>
      <c r="K27" t="n">
        <v>0</v>
      </c>
      <c r="L27" t="n">
        <v>2</v>
      </c>
      <c r="M27" t="n">
        <v>1</v>
      </c>
      <c r="N27" t="n">
        <v>0</v>
      </c>
      <c r="O27" t="n">
        <v>0</v>
      </c>
      <c r="P27" t="n">
        <v>0</v>
      </c>
      <c r="Q27" t="n">
        <v>3</v>
      </c>
      <c r="R27" t="n">
        <v>1</v>
      </c>
      <c r="S27" t="n">
        <v>3</v>
      </c>
      <c r="T27" t="n">
        <v>8</v>
      </c>
      <c r="U27" s="2" t="inlineStr">
        <is>
          <t>Skrovlig taggsvamp
Dropptaggsvamp
Vedskivlav</t>
        </is>
      </c>
      <c r="V27">
        <f>HYPERLINK("https://klasma.github.io/Logging_1884/artfynd/A 45233-2021 artfynd.xlsx", "A 45233-2021")</f>
        <v/>
      </c>
      <c r="W27">
        <f>HYPERLINK("https://klasma.github.io/Logging_1884/kartor/A 45233-2021 karta.png", "A 45233-2021")</f>
        <v/>
      </c>
      <c r="Y27">
        <f>HYPERLINK("https://klasma.github.io/Logging_1884/klagomål/A 45233-2021 FSC-klagomål.docx", "A 45233-2021")</f>
        <v/>
      </c>
      <c r="Z27">
        <f>HYPERLINK("https://klasma.github.io/Logging_1884/klagomålsmail/A 45233-2021 FSC-klagomål mail.docx", "A 45233-2021")</f>
        <v/>
      </c>
      <c r="AA27">
        <f>HYPERLINK("https://klasma.github.io/Logging_1884/tillsyn/A 45233-2021 tillsynsbegäran.docx", "A 45233-2021")</f>
        <v/>
      </c>
      <c r="AB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46221</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s="2" t="inlineStr">
        <is>
          <t>Svinrot
Nattviol</t>
        </is>
      </c>
      <c r="V28">
        <f>HYPERLINK("https://klasma.github.io/Logging_1884/artfynd/A 49635-2022 artfynd.xlsx", "A 49635-2022")</f>
        <v/>
      </c>
      <c r="W28">
        <f>HYPERLINK("https://klasma.github.io/Logging_1884/kartor/A 49635-2022 karta.png", "A 49635-2022")</f>
        <v/>
      </c>
      <c r="Y28">
        <f>HYPERLINK("https://klasma.github.io/Logging_1884/klagomål/A 49635-2022 FSC-klagomål.docx", "A 49635-2022")</f>
        <v/>
      </c>
      <c r="Z28">
        <f>HYPERLINK("https://klasma.github.io/Logging_1884/klagomålsmail/A 49635-2022 FSC-klagomål mail.docx", "A 49635-2022")</f>
        <v/>
      </c>
      <c r="AA28">
        <f>HYPERLINK("https://klasma.github.io/Logging_1884/tillsyn/A 49635-2022 tillsynsbegäran.docx", "A 49635-2022")</f>
        <v/>
      </c>
      <c r="AB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46221</v>
      </c>
      <c r="F29" t="inlineStr">
        <is>
          <t>ÖREBRO LÄN</t>
        </is>
      </c>
      <c r="G29" t="inlineStr">
        <is>
          <t>NORA</t>
        </is>
      </c>
      <c r="I29" t="n">
        <v>0.9</v>
      </c>
      <c r="J29" t="n">
        <v>1</v>
      </c>
      <c r="K29" t="n">
        <v>0</v>
      </c>
      <c r="L29" t="n">
        <v>2</v>
      </c>
      <c r="M29" t="n">
        <v>0</v>
      </c>
      <c r="N29" t="n">
        <v>0</v>
      </c>
      <c r="O29" t="n">
        <v>0</v>
      </c>
      <c r="P29" t="n">
        <v>0</v>
      </c>
      <c r="Q29" t="n">
        <v>2</v>
      </c>
      <c r="R29" t="n">
        <v>0</v>
      </c>
      <c r="S29" t="n">
        <v>2</v>
      </c>
      <c r="T29" t="n">
        <v>4</v>
      </c>
      <c r="U29" s="2" t="inlineStr">
        <is>
          <t>Entita
Skogsklocka</t>
        </is>
      </c>
      <c r="V29">
        <f>HYPERLINK("https://klasma.github.io/Logging_1884/artfynd/A 21695-2022 artfynd.xlsx", "A 21695-2022")</f>
        <v/>
      </c>
      <c r="W29">
        <f>HYPERLINK("https://klasma.github.io/Logging_1884/kartor/A 21695-2022 karta.png", "A 21695-2022")</f>
        <v/>
      </c>
      <c r="Y29">
        <f>HYPERLINK("https://klasma.github.io/Logging_1884/klagomål/A 21695-2022 FSC-klagomål.docx", "A 21695-2022")</f>
        <v/>
      </c>
      <c r="Z29">
        <f>HYPERLINK("https://klasma.github.io/Logging_1884/klagomålsmail/A 21695-2022 FSC-klagomål mail.docx", "A 21695-2022")</f>
        <v/>
      </c>
      <c r="AA29">
        <f>HYPERLINK("https://klasma.github.io/Logging_1884/tillsyn/A 21695-2022 tillsynsbegäran.docx", "A 21695-2022")</f>
        <v/>
      </c>
      <c r="AB29">
        <f>HYPERLINK("https://klasma.github.io/Logging_1884/tillsynsmail/A 21695-2022 tillsynsbegäran mail.docx", "A 21695-2022")</f>
        <v/>
      </c>
      <c r="AC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46221</v>
      </c>
      <c r="F30" t="inlineStr">
        <is>
          <t>ÖREBRO LÄN</t>
        </is>
      </c>
      <c r="G30" t="inlineStr">
        <is>
          <t>NORA</t>
        </is>
      </c>
      <c r="I30" t="n">
        <v>1.1</v>
      </c>
      <c r="J30" t="n">
        <v>2</v>
      </c>
      <c r="K30" t="n">
        <v>0</v>
      </c>
      <c r="L30" t="n">
        <v>0</v>
      </c>
      <c r="M30" t="n">
        <v>0</v>
      </c>
      <c r="N30" t="n">
        <v>0</v>
      </c>
      <c r="O30" t="n">
        <v>0</v>
      </c>
      <c r="P30" t="n">
        <v>0</v>
      </c>
      <c r="Q30" t="n">
        <v>0</v>
      </c>
      <c r="R30" t="n">
        <v>0</v>
      </c>
      <c r="S30" t="n">
        <v>2</v>
      </c>
      <c r="T30" t="n">
        <v>2</v>
      </c>
      <c r="U30" s="2" t="inlineStr">
        <is>
          <t>Järpe
Spillkråka</t>
        </is>
      </c>
      <c r="V30">
        <f>HYPERLINK("https://klasma.github.io/Logging_1884/artfynd/A 41696-2023 artfynd.xlsx", "A 41696-2023")</f>
        <v/>
      </c>
      <c r="W30">
        <f>HYPERLINK("https://klasma.github.io/Logging_1884/kartor/A 41696-2023 karta.png", "A 41696-2023")</f>
        <v/>
      </c>
      <c r="Y30">
        <f>HYPERLINK("https://klasma.github.io/Logging_1884/klagomål/A 41696-2023 FSC-klagomål.docx", "A 41696-2023")</f>
        <v/>
      </c>
      <c r="Z30">
        <f>HYPERLINK("https://klasma.github.io/Logging_1884/klagomålsmail/A 41696-2023 FSC-klagomål mail.docx", "A 41696-2023")</f>
        <v/>
      </c>
      <c r="AA30">
        <f>HYPERLINK("https://klasma.github.io/Logging_1884/tillsyn/A 41696-2023 tillsynsbegäran.docx", "A 41696-2023")</f>
        <v/>
      </c>
      <c r="AB30">
        <f>HYPERLINK("https://klasma.github.io/Logging_1884/tillsynsmail/A 41696-2023 tillsynsbegäran mail.docx", "A 41696-2023")</f>
        <v/>
      </c>
      <c r="AC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46221</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s="2" t="inlineStr">
        <is>
          <t>Mattlummer
Skogsödla</t>
        </is>
      </c>
      <c r="V31">
        <f>HYPERLINK("https://klasma.github.io/Logging_1884/artfynd/A 63825-2023 artfynd.xlsx", "A 63825-2023")</f>
        <v/>
      </c>
      <c r="W31">
        <f>HYPERLINK("https://klasma.github.io/Logging_1884/kartor/A 63825-2023 karta.png", "A 63825-2023")</f>
        <v/>
      </c>
      <c r="Y31">
        <f>HYPERLINK("https://klasma.github.io/Logging_1884/klagomål/A 63825-2023 FSC-klagomål.docx", "A 63825-2023")</f>
        <v/>
      </c>
      <c r="Z31">
        <f>HYPERLINK("https://klasma.github.io/Logging_1884/klagomålsmail/A 63825-2023 FSC-klagomål mail.docx", "A 63825-2023")</f>
        <v/>
      </c>
      <c r="AA31">
        <f>HYPERLINK("https://klasma.github.io/Logging_1884/tillsyn/A 63825-2023 tillsynsbegäran.docx", "A 63825-2023")</f>
        <v/>
      </c>
      <c r="AB31">
        <f>HYPERLINK("https://klasma.github.io/Logging_1884/tillsynsmail/A 63825-2023 tillsynsbegäran mail.docx", "A 63825-2023")</f>
        <v/>
      </c>
    </row>
    <row r="32" ht="15" customHeight="1">
      <c r="A32" t="inlineStr">
        <is>
          <t>A 56959-2025</t>
        </is>
      </c>
      <c r="B32" t="inlineStr">
        <is>
          <t>avverkningsanmälan</t>
        </is>
      </c>
      <c r="C32" t="inlineStr">
        <is>
          <t>Föryngringsavverkning</t>
        </is>
      </c>
      <c r="D32" s="1" t="n">
        <v>45978</v>
      </c>
      <c r="E32" s="1" t="n">
        <v>46221</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s="2" t="inlineStr">
        <is>
          <t>Tallticka
Spillkråka</t>
        </is>
      </c>
      <c r="V32">
        <f>HYPERLINK("https://klasma.github.io/Logging_1884/artfynd/A 56959-2025 artfynd.xlsx", "A 56959-2025")</f>
        <v/>
      </c>
      <c r="W32">
        <f>HYPERLINK("https://klasma.github.io/Logging_1884/kartor/A 56959-2025 karta.png", "A 56959-2025")</f>
        <v/>
      </c>
      <c r="Y32">
        <f>HYPERLINK("https://klasma.github.io/Logging_1884/klagomål/A 56959-2025 FSC-klagomål.docx", "A 56959-2025")</f>
        <v/>
      </c>
      <c r="Z32">
        <f>HYPERLINK("https://klasma.github.io/Logging_1884/klagomålsmail/A 56959-2025 FSC-klagomål mail.docx", "A 56959-2025")</f>
        <v/>
      </c>
      <c r="AA32">
        <f>HYPERLINK("https://klasma.github.io/Logging_1884/tillsyn/A 56959-2025 tillsynsbegäran.docx", "A 56959-2025")</f>
        <v/>
      </c>
      <c r="AB32">
        <f>HYPERLINK("https://klasma.github.io/Logging_1884/tillsynsmail/A 56959-2025 tillsynsbegäran mail.docx", "A 56959-2025")</f>
        <v/>
      </c>
      <c r="AC32">
        <f>HYPERLINK("https://klasma.github.io/Logging_1884/fåglar/A 56959-2025 prioriterade fågelarter.docx", "A 56959-2025")</f>
        <v/>
      </c>
    </row>
    <row r="33" ht="15" customHeight="1">
      <c r="A33" t="inlineStr">
        <is>
          <t>A 2261-2026</t>
        </is>
      </c>
      <c r="B33" t="inlineStr">
        <is>
          <t>avverkningsanmälan</t>
        </is>
      </c>
      <c r="C33" t="inlineStr">
        <is>
          <t>Föryngringsavverkning</t>
        </is>
      </c>
      <c r="D33" s="1" t="n">
        <v>46036</v>
      </c>
      <c r="E33" s="1" t="n">
        <v>46221</v>
      </c>
      <c r="F33" t="inlineStr">
        <is>
          <t>ÖREBRO LÄN</t>
        </is>
      </c>
      <c r="G33" t="inlineStr">
        <is>
          <t>NORA</t>
        </is>
      </c>
      <c r="I33" t="n">
        <v>0.4</v>
      </c>
      <c r="J33" t="n">
        <v>0</v>
      </c>
      <c r="K33" t="n">
        <v>1</v>
      </c>
      <c r="L33" t="n">
        <v>0</v>
      </c>
      <c r="M33" t="n">
        <v>0</v>
      </c>
      <c r="N33" t="n">
        <v>1</v>
      </c>
      <c r="O33" t="n">
        <v>0</v>
      </c>
      <c r="P33" t="n">
        <v>0</v>
      </c>
      <c r="Q33" t="n">
        <v>1</v>
      </c>
      <c r="R33" t="n">
        <v>1</v>
      </c>
      <c r="S33" t="n">
        <v>2</v>
      </c>
      <c r="T33" t="n">
        <v>2</v>
      </c>
      <c r="U33" s="2" t="inlineStr">
        <is>
          <t>Flodpärlmussla
Stubbspretmossa</t>
        </is>
      </c>
      <c r="V33">
        <f>HYPERLINK("https://klasma.github.io/Logging_1884/artfynd/A 2261-2026 artfynd.xlsx", "A 2261-2026")</f>
        <v/>
      </c>
      <c r="W33">
        <f>HYPERLINK("https://klasma.github.io/Logging_1884/kartor/A 2261-2026 karta.png", "A 2261-2026")</f>
        <v/>
      </c>
      <c r="Y33">
        <f>HYPERLINK("https://klasma.github.io/Logging_1884/klagomål/A 2261-2026 FSC-klagomål.docx", "A 2261-2026")</f>
        <v/>
      </c>
      <c r="Z33">
        <f>HYPERLINK("https://klasma.github.io/Logging_1884/klagomålsmail/A 2261-2026 FSC-klagomål mail.docx", "A 2261-2026")</f>
        <v/>
      </c>
      <c r="AA33">
        <f>HYPERLINK("https://klasma.github.io/Logging_1884/tillsyn/A 2261-2026 tillsynsbegäran.docx", "A 2261-2026")</f>
        <v/>
      </c>
      <c r="AB33">
        <f>HYPERLINK("https://klasma.github.io/Logging_1884/tillsynsmail/A 2261-2026 tillsynsbegäran mail.docx", "A 2261-2026")</f>
        <v/>
      </c>
    </row>
    <row r="34" ht="15" customHeight="1">
      <c r="A34" t="inlineStr">
        <is>
          <t>A 16289-2026</t>
        </is>
      </c>
      <c r="B34" t="inlineStr">
        <is>
          <t>avverkningsanmälan</t>
        </is>
      </c>
      <c r="C34" t="inlineStr">
        <is>
          <t>Föryngringsavverkning</t>
        </is>
      </c>
      <c r="D34" s="1" t="n">
        <v>46111</v>
      </c>
      <c r="E34" s="1" t="n">
        <v>46221</v>
      </c>
      <c r="F34" t="inlineStr">
        <is>
          <t>ÖREBRO LÄN</t>
        </is>
      </c>
      <c r="G34" t="inlineStr">
        <is>
          <t>NORA</t>
        </is>
      </c>
      <c r="I34" t="n">
        <v>2.5</v>
      </c>
      <c r="J34" t="n">
        <v>1</v>
      </c>
      <c r="K34" t="n">
        <v>1</v>
      </c>
      <c r="L34" t="n">
        <v>0</v>
      </c>
      <c r="M34" t="n">
        <v>0</v>
      </c>
      <c r="N34" t="n">
        <v>0</v>
      </c>
      <c r="O34" t="n">
        <v>0</v>
      </c>
      <c r="P34" t="n">
        <v>0</v>
      </c>
      <c r="Q34" t="n">
        <v>0</v>
      </c>
      <c r="R34" t="n">
        <v>0</v>
      </c>
      <c r="S34" t="n">
        <v>2</v>
      </c>
      <c r="T34" t="n">
        <v>2</v>
      </c>
      <c r="U34" s="2" t="inlineStr">
        <is>
          <t>Mindre märgborre
Spillkråka</t>
        </is>
      </c>
      <c r="V34">
        <f>HYPERLINK("https://klasma.github.io/Logging_1884/artfynd/A 16289-2026 artfynd.xlsx", "A 16289-2026")</f>
        <v/>
      </c>
      <c r="W34">
        <f>HYPERLINK("https://klasma.github.io/Logging_1884/kartor/A 16289-2026 karta.png", "A 16289-2026")</f>
        <v/>
      </c>
      <c r="Y34">
        <f>HYPERLINK("https://klasma.github.io/Logging_1884/klagomål/A 16289-2026 FSC-klagomål.docx", "A 16289-2026")</f>
        <v/>
      </c>
      <c r="Z34">
        <f>HYPERLINK("https://klasma.github.io/Logging_1884/klagomålsmail/A 16289-2026 FSC-klagomål mail.docx", "A 16289-2026")</f>
        <v/>
      </c>
      <c r="AA34">
        <f>HYPERLINK("https://klasma.github.io/Logging_1884/tillsyn/A 16289-2026 tillsynsbegäran.docx", "A 16289-2026")</f>
        <v/>
      </c>
      <c r="AB34">
        <f>HYPERLINK("https://klasma.github.io/Logging_1884/tillsynsmail/A 16289-2026 tillsynsbegäran mail.docx", "A 16289-2026")</f>
        <v/>
      </c>
      <c r="AC34">
        <f>HYPERLINK("https://klasma.github.io/Logging_1884/fåglar/A 16289-2026 prioriterade fågelarter.docx", "A 16289-2026")</f>
        <v/>
      </c>
    </row>
    <row r="35" ht="15" customHeight="1">
      <c r="A35" t="inlineStr">
        <is>
          <t>A 16288-2026</t>
        </is>
      </c>
      <c r="B35" t="inlineStr">
        <is>
          <t>avverkningsanmälan</t>
        </is>
      </c>
      <c r="C35" t="inlineStr">
        <is>
          <t>Föryngringsavverkning</t>
        </is>
      </c>
      <c r="D35" s="1" t="n">
        <v>46111</v>
      </c>
      <c r="E35" s="1" t="n">
        <v>46221</v>
      </c>
      <c r="F35" t="inlineStr">
        <is>
          <t>ÖREBRO LÄN</t>
        </is>
      </c>
      <c r="G35" t="inlineStr">
        <is>
          <t>NORA</t>
        </is>
      </c>
      <c r="I35" t="n">
        <v>2</v>
      </c>
      <c r="J35" t="n">
        <v>1</v>
      </c>
      <c r="K35" t="n">
        <v>0</v>
      </c>
      <c r="L35" t="n">
        <v>1</v>
      </c>
      <c r="M35" t="n">
        <v>0</v>
      </c>
      <c r="N35" t="n">
        <v>0</v>
      </c>
      <c r="O35" t="n">
        <v>0</v>
      </c>
      <c r="P35" t="n">
        <v>0</v>
      </c>
      <c r="Q35" t="n">
        <v>1</v>
      </c>
      <c r="R35" t="n">
        <v>0</v>
      </c>
      <c r="S35" t="n">
        <v>2</v>
      </c>
      <c r="T35" t="n">
        <v>2</v>
      </c>
      <c r="U35" s="2" t="inlineStr">
        <is>
          <t>Vedtrappmossa
Spillkråka</t>
        </is>
      </c>
      <c r="V35">
        <f>HYPERLINK("https://klasma.github.io/Logging_1884/artfynd/A 16288-2026 artfynd.xlsx", "A 16288-2026")</f>
        <v/>
      </c>
      <c r="W35">
        <f>HYPERLINK("https://klasma.github.io/Logging_1884/kartor/A 16288-2026 karta.png", "A 16288-2026")</f>
        <v/>
      </c>
      <c r="Y35">
        <f>HYPERLINK("https://klasma.github.io/Logging_1884/klagomål/A 16288-2026 FSC-klagomål.docx", "A 16288-2026")</f>
        <v/>
      </c>
      <c r="Z35">
        <f>HYPERLINK("https://klasma.github.io/Logging_1884/klagomålsmail/A 16288-2026 FSC-klagomål mail.docx", "A 16288-2026")</f>
        <v/>
      </c>
      <c r="AA35">
        <f>HYPERLINK("https://klasma.github.io/Logging_1884/tillsyn/A 16288-2026 tillsynsbegäran.docx", "A 16288-2026")</f>
        <v/>
      </c>
      <c r="AB35">
        <f>HYPERLINK("https://klasma.github.io/Logging_1884/tillsynsmail/A 16288-2026 tillsynsbegäran mail.docx", "A 16288-2026")</f>
        <v/>
      </c>
      <c r="AC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46221</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s="2" t="inlineStr">
        <is>
          <t>Garnlav
Stor aspticka</t>
        </is>
      </c>
      <c r="V36">
        <f>HYPERLINK("https://klasma.github.io/Logging_1884/artfynd/S 269-2024 artfynd.xlsx", "S 269-2024")</f>
        <v/>
      </c>
      <c r="W36">
        <f>HYPERLINK("https://klasma.github.io/Logging_1884/kartor/S 269-2024 karta.png", "S 269-2024")</f>
        <v/>
      </c>
      <c r="Y36">
        <f>HYPERLINK("https://klasma.github.io/Logging_1884/klagomål/S 269-2024 FSC-klagomål.docx", "S 269-2024")</f>
        <v/>
      </c>
      <c r="Z36">
        <f>HYPERLINK("https://klasma.github.io/Logging_1884/klagomålsmail/S 269-2024 FSC-klagomål mail.docx", "S 269-2024")</f>
        <v/>
      </c>
      <c r="AA36">
        <f>HYPERLINK("https://klasma.github.io/Logging_1884/tillsyn/S 269-2024 tillsynsbegäran.docx", "S 269-2024")</f>
        <v/>
      </c>
      <c r="AB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46221</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s="2" t="inlineStr">
        <is>
          <t>Järnsparv
Tjäder</t>
        </is>
      </c>
      <c r="V37">
        <f>HYPERLINK("https://klasma.github.io/Logging_1884/artfynd/S 472-2025 artfynd.xlsx", "S 472-2025")</f>
        <v/>
      </c>
      <c r="W37">
        <f>HYPERLINK("https://klasma.github.io/Logging_1884/kartor/S 472-2025 karta.png", "S 472-2025")</f>
        <v/>
      </c>
      <c r="Y37">
        <f>HYPERLINK("https://klasma.github.io/Logging_1884/klagomål/S 472-2025 FSC-klagomål.docx", "S 472-2025")</f>
        <v/>
      </c>
      <c r="Z37">
        <f>HYPERLINK("https://klasma.github.io/Logging_1884/klagomålsmail/S 472-2025 FSC-klagomål mail.docx", "S 472-2025")</f>
        <v/>
      </c>
      <c r="AA37">
        <f>HYPERLINK("https://klasma.github.io/Logging_1884/tillsyn/S 472-2025 tillsynsbegäran.docx", "S 472-2025")</f>
        <v/>
      </c>
      <c r="AB37">
        <f>HYPERLINK("https://klasma.github.io/Logging_1884/tillsynsmail/S 472-2025 tillsynsbegäran mail.docx", "S 472-2025")</f>
        <v/>
      </c>
      <c r="AC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46221</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s="2" t="inlineStr">
        <is>
          <t>Trana</t>
        </is>
      </c>
      <c r="V38">
        <f>HYPERLINK("https://klasma.github.io/Logging_1884/artfynd/A 59606-2021 artfynd.xlsx", "A 59606-2021")</f>
        <v/>
      </c>
      <c r="W38">
        <f>HYPERLINK("https://klasma.github.io/Logging_1884/kartor/A 59606-2021 karta.png", "A 59606-2021")</f>
        <v/>
      </c>
      <c r="Y38">
        <f>HYPERLINK("https://klasma.github.io/Logging_1884/klagomål/A 59606-2021 FSC-klagomål.docx", "A 59606-2021")</f>
        <v/>
      </c>
      <c r="Z38">
        <f>HYPERLINK("https://klasma.github.io/Logging_1884/klagomålsmail/A 59606-2021 FSC-klagomål mail.docx", "A 59606-2021")</f>
        <v/>
      </c>
      <c r="AA38">
        <f>HYPERLINK("https://klasma.github.io/Logging_1884/tillsyn/A 59606-2021 tillsynsbegäran.docx", "A 59606-2021")</f>
        <v/>
      </c>
      <c r="AB38">
        <f>HYPERLINK("https://klasma.github.io/Logging_1884/tillsynsmail/A 59606-2021 tillsynsbegäran mail.docx", "A 59606-2021")</f>
        <v/>
      </c>
      <c r="AC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46221</v>
      </c>
      <c r="F39" t="inlineStr">
        <is>
          <t>ÖREBRO LÄN</t>
        </is>
      </c>
      <c r="G39" t="inlineStr">
        <is>
          <t>NORA</t>
        </is>
      </c>
      <c r="I39" t="n">
        <v>3.5</v>
      </c>
      <c r="J39" t="n">
        <v>1</v>
      </c>
      <c r="K39" t="n">
        <v>0</v>
      </c>
      <c r="L39" t="n">
        <v>0</v>
      </c>
      <c r="M39" t="n">
        <v>0</v>
      </c>
      <c r="N39" t="n">
        <v>0</v>
      </c>
      <c r="O39" t="n">
        <v>0</v>
      </c>
      <c r="P39" t="n">
        <v>0</v>
      </c>
      <c r="Q39" t="n">
        <v>0</v>
      </c>
      <c r="R39" t="n">
        <v>0</v>
      </c>
      <c r="S39" t="n">
        <v>1</v>
      </c>
      <c r="T39" t="n">
        <v>1</v>
      </c>
      <c r="U39" s="2" t="inlineStr">
        <is>
          <t>Spillkråka</t>
        </is>
      </c>
      <c r="V39">
        <f>HYPERLINK("https://klasma.github.io/Logging_1884/artfynd/A 5039-2022 artfynd.xlsx", "A 5039-2022")</f>
        <v/>
      </c>
      <c r="W39">
        <f>HYPERLINK("https://klasma.github.io/Logging_1884/kartor/A 5039-2022 karta.png", "A 5039-2022")</f>
        <v/>
      </c>
      <c r="Y39">
        <f>HYPERLINK("https://klasma.github.io/Logging_1884/klagomål/A 5039-2022 FSC-klagomål.docx", "A 5039-2022")</f>
        <v/>
      </c>
      <c r="Z39">
        <f>HYPERLINK("https://klasma.github.io/Logging_1884/klagomålsmail/A 5039-2022 FSC-klagomål mail.docx", "A 5039-2022")</f>
        <v/>
      </c>
      <c r="AA39">
        <f>HYPERLINK("https://klasma.github.io/Logging_1884/tillsyn/A 5039-2022 tillsynsbegäran.docx", "A 5039-2022")</f>
        <v/>
      </c>
      <c r="AB39">
        <f>HYPERLINK("https://klasma.github.io/Logging_1884/tillsynsmail/A 5039-2022 tillsynsbegäran mail.docx", "A 5039-2022")</f>
        <v/>
      </c>
      <c r="AC39">
        <f>HYPERLINK("https://klasma.github.io/Logging_1884/fåglar/A 5039-2022 prioriterade fågelarter.docx", "A 5039-2022")</f>
        <v/>
      </c>
    </row>
    <row r="40" ht="15" customHeight="1">
      <c r="A40" t="inlineStr">
        <is>
          <t>A 14306-2025</t>
        </is>
      </c>
      <c r="B40" t="inlineStr">
        <is>
          <t>avverkningsanmälan</t>
        </is>
      </c>
      <c r="C40" t="inlineStr">
        <is>
          <t>Föryngringsavverkning</t>
        </is>
      </c>
      <c r="D40" s="1" t="n">
        <v>45740</v>
      </c>
      <c r="E40" s="1" t="n">
        <v>46221</v>
      </c>
      <c r="F40" t="inlineStr">
        <is>
          <t>ÖREBRO LÄN</t>
        </is>
      </c>
      <c r="G40" t="inlineStr">
        <is>
          <t>NORA</t>
        </is>
      </c>
      <c r="I40" t="n">
        <v>1.3</v>
      </c>
      <c r="J40" t="n">
        <v>1</v>
      </c>
      <c r="K40" t="n">
        <v>0</v>
      </c>
      <c r="L40" t="n">
        <v>0</v>
      </c>
      <c r="M40" t="n">
        <v>0</v>
      </c>
      <c r="N40" t="n">
        <v>0</v>
      </c>
      <c r="O40" t="n">
        <v>0</v>
      </c>
      <c r="P40" t="n">
        <v>0</v>
      </c>
      <c r="Q40" t="n">
        <v>0</v>
      </c>
      <c r="R40" t="n">
        <v>0</v>
      </c>
      <c r="S40" t="n">
        <v>1</v>
      </c>
      <c r="T40" t="n">
        <v>1</v>
      </c>
      <c r="U40" s="2" t="inlineStr">
        <is>
          <t>Spillkråka</t>
        </is>
      </c>
      <c r="V40">
        <f>HYPERLINK("https://klasma.github.io/Logging_1884/artfynd/A 14306-2025 artfynd.xlsx", "A 14306-2025")</f>
        <v/>
      </c>
      <c r="W40">
        <f>HYPERLINK("https://klasma.github.io/Logging_1884/kartor/A 14306-2025 karta.png", "A 14306-2025")</f>
        <v/>
      </c>
      <c r="Y40">
        <f>HYPERLINK("https://klasma.github.io/Logging_1884/klagomål/A 14306-2025 FSC-klagomål.docx", "A 14306-2025")</f>
        <v/>
      </c>
      <c r="Z40">
        <f>HYPERLINK("https://klasma.github.io/Logging_1884/klagomålsmail/A 14306-2025 FSC-klagomål mail.docx", "A 14306-2025")</f>
        <v/>
      </c>
      <c r="AA40">
        <f>HYPERLINK("https://klasma.github.io/Logging_1884/tillsyn/A 14306-2025 tillsynsbegäran.docx", "A 14306-2025")</f>
        <v/>
      </c>
      <c r="AB40">
        <f>HYPERLINK("https://klasma.github.io/Logging_1884/tillsynsmail/A 14306-2025 tillsynsbegäran mail.docx", "A 14306-2025")</f>
        <v/>
      </c>
      <c r="AC40">
        <f>HYPERLINK("https://klasma.github.io/Logging_1884/fåglar/A 14306-2025 prioriterade fågelarter.docx", "A 14306-2025")</f>
        <v/>
      </c>
    </row>
    <row r="41" ht="15" customHeight="1">
      <c r="A41" t="inlineStr">
        <is>
          <t>A 16554-2024</t>
        </is>
      </c>
      <c r="B41" t="inlineStr">
        <is>
          <t>avverkningsanmälan</t>
        </is>
      </c>
      <c r="C41" t="inlineStr">
        <is>
          <t>Avverkning för att bevara och utveckla /försöksver</t>
        </is>
      </c>
      <c r="D41" s="1" t="n">
        <v>45408</v>
      </c>
      <c r="E41" s="1" t="n">
        <v>46221</v>
      </c>
      <c r="F41" t="inlineStr">
        <is>
          <t>ÖREBRO LÄN</t>
        </is>
      </c>
      <c r="G41" t="inlineStr">
        <is>
          <t>NORA</t>
        </is>
      </c>
      <c r="H41" t="inlineStr">
        <is>
          <t>Sveaskog</t>
        </is>
      </c>
      <c r="I41" t="n">
        <v>4</v>
      </c>
      <c r="J41" t="n">
        <v>1</v>
      </c>
      <c r="K41" t="n">
        <v>0</v>
      </c>
      <c r="L41" t="n">
        <v>0</v>
      </c>
      <c r="M41" t="n">
        <v>0</v>
      </c>
      <c r="N41" t="n">
        <v>0</v>
      </c>
      <c r="O41" t="n">
        <v>0</v>
      </c>
      <c r="P41" t="n">
        <v>0</v>
      </c>
      <c r="Q41" t="n">
        <v>0</v>
      </c>
      <c r="R41" t="n">
        <v>0</v>
      </c>
      <c r="S41" t="n">
        <v>1</v>
      </c>
      <c r="T41" t="n">
        <v>1</v>
      </c>
      <c r="U41" s="2" t="inlineStr">
        <is>
          <t>Blåsippa</t>
        </is>
      </c>
      <c r="V41">
        <f>HYPERLINK("https://klasma.github.io/Logging_1884/artfynd/A 16554-2024 artfynd.xlsx", "A 16554-2024")</f>
        <v/>
      </c>
      <c r="W41">
        <f>HYPERLINK("https://klasma.github.io/Logging_1884/kartor/A 16554-2024 karta.png", "A 16554-2024")</f>
        <v/>
      </c>
      <c r="Y41">
        <f>HYPERLINK("https://klasma.github.io/Logging_1884/klagomål/A 16554-2024 FSC-klagomål.docx", "A 16554-2024")</f>
        <v/>
      </c>
      <c r="Z41">
        <f>HYPERLINK("https://klasma.github.io/Logging_1884/klagomålsmail/A 16554-2024 FSC-klagomål mail.docx", "A 16554-2024")</f>
        <v/>
      </c>
      <c r="AA41">
        <f>HYPERLINK("https://klasma.github.io/Logging_1884/tillsyn/A 16554-2024 tillsynsbegäran.docx", "A 16554-2024")</f>
        <v/>
      </c>
      <c r="AB41">
        <f>HYPERLINK("https://klasma.github.io/Logging_1884/tillsynsmail/A 16554-2024 tillsynsbegäran mail.docx", "A 16554-2024")</f>
        <v/>
      </c>
    </row>
    <row r="42" ht="15" customHeight="1">
      <c r="A42" t="inlineStr">
        <is>
          <t>A 16642-2024</t>
        </is>
      </c>
      <c r="B42" t="inlineStr">
        <is>
          <t>avverkningsanmälan</t>
        </is>
      </c>
      <c r="C42" t="inlineStr">
        <is>
          <t>Avverkning för att bevara och utveckla /försöksver</t>
        </is>
      </c>
      <c r="D42" s="1" t="n">
        <v>45408</v>
      </c>
      <c r="E42" s="1" t="n">
        <v>46221</v>
      </c>
      <c r="F42" t="inlineStr">
        <is>
          <t>ÖREBRO LÄN</t>
        </is>
      </c>
      <c r="G42" t="inlineStr">
        <is>
          <t>NORA</t>
        </is>
      </c>
      <c r="H42" t="inlineStr">
        <is>
          <t>Sveaskog</t>
        </is>
      </c>
      <c r="I42" t="n">
        <v>4</v>
      </c>
      <c r="J42" t="n">
        <v>1</v>
      </c>
      <c r="K42" t="n">
        <v>0</v>
      </c>
      <c r="L42" t="n">
        <v>0</v>
      </c>
      <c r="M42" t="n">
        <v>0</v>
      </c>
      <c r="N42" t="n">
        <v>0</v>
      </c>
      <c r="O42" t="n">
        <v>0</v>
      </c>
      <c r="P42" t="n">
        <v>0</v>
      </c>
      <c r="Q42" t="n">
        <v>0</v>
      </c>
      <c r="R42" t="n">
        <v>0</v>
      </c>
      <c r="S42" t="n">
        <v>1</v>
      </c>
      <c r="T42" t="n">
        <v>1</v>
      </c>
      <c r="U42" s="2" t="inlineStr">
        <is>
          <t>Blåsippa</t>
        </is>
      </c>
      <c r="V42">
        <f>HYPERLINK("https://klasma.github.io/Logging_1884/artfynd/A 16642-2024 artfynd.xlsx", "A 16642-2024")</f>
        <v/>
      </c>
      <c r="W42">
        <f>HYPERLINK("https://klasma.github.io/Logging_1884/kartor/A 16642-2024 karta.png", "A 16642-2024")</f>
        <v/>
      </c>
      <c r="Y42">
        <f>HYPERLINK("https://klasma.github.io/Logging_1884/klagomål/A 16642-2024 FSC-klagomål.docx", "A 16642-2024")</f>
        <v/>
      </c>
      <c r="Z42">
        <f>HYPERLINK("https://klasma.github.io/Logging_1884/klagomålsmail/A 16642-2024 FSC-klagomål mail.docx", "A 16642-2024")</f>
        <v/>
      </c>
      <c r="AA42">
        <f>HYPERLINK("https://klasma.github.io/Logging_1884/tillsyn/A 16642-2024 tillsynsbegäran.docx", "A 16642-2024")</f>
        <v/>
      </c>
      <c r="AB42">
        <f>HYPERLINK("https://klasma.github.io/Logging_1884/tillsynsmail/A 16642-2024 tillsynsbegäran mail.docx", "A 16642-2024")</f>
        <v/>
      </c>
    </row>
    <row r="43" ht="15" customHeight="1">
      <c r="A43" t="inlineStr">
        <is>
          <t>A 43148-2025</t>
        </is>
      </c>
      <c r="B43" t="inlineStr">
        <is>
          <t>avverkningsanmälan</t>
        </is>
      </c>
      <c r="C43" t="inlineStr">
        <is>
          <t>Föryngringsavverkning</t>
        </is>
      </c>
      <c r="D43" s="1" t="n">
        <v>45910</v>
      </c>
      <c r="E43" s="1" t="n">
        <v>46221</v>
      </c>
      <c r="F43" t="inlineStr">
        <is>
          <t>ÖREBRO LÄN</t>
        </is>
      </c>
      <c r="G43" t="inlineStr">
        <is>
          <t>NORA</t>
        </is>
      </c>
      <c r="I43" t="n">
        <v>5.5</v>
      </c>
      <c r="J43" t="n">
        <v>1</v>
      </c>
      <c r="K43" t="n">
        <v>1</v>
      </c>
      <c r="L43" t="n">
        <v>0</v>
      </c>
      <c r="M43" t="n">
        <v>0</v>
      </c>
      <c r="N43" t="n">
        <v>0</v>
      </c>
      <c r="O43" t="n">
        <v>0</v>
      </c>
      <c r="P43" t="n">
        <v>0</v>
      </c>
      <c r="Q43" t="n">
        <v>0</v>
      </c>
      <c r="R43" t="n">
        <v>0</v>
      </c>
      <c r="S43" t="n">
        <v>1</v>
      </c>
      <c r="T43" t="n">
        <v>1</v>
      </c>
      <c r="U43" s="2" t="inlineStr">
        <is>
          <t>Purpurknipprot</t>
        </is>
      </c>
      <c r="V43">
        <f>HYPERLINK("https://klasma.github.io/Logging_1884/artfynd/A 43148-2025 artfynd.xlsx", "A 43148-2025")</f>
        <v/>
      </c>
      <c r="W43">
        <f>HYPERLINK("https://klasma.github.io/Logging_1884/kartor/A 43148-2025 karta.png", "A 43148-2025")</f>
        <v/>
      </c>
      <c r="Y43">
        <f>HYPERLINK("https://klasma.github.io/Logging_1884/klagomål/A 43148-2025 FSC-klagomål.docx", "A 43148-2025")</f>
        <v/>
      </c>
      <c r="Z43">
        <f>HYPERLINK("https://klasma.github.io/Logging_1884/klagomålsmail/A 43148-2025 FSC-klagomål mail.docx", "A 43148-2025")</f>
        <v/>
      </c>
      <c r="AA43">
        <f>HYPERLINK("https://klasma.github.io/Logging_1884/tillsyn/A 43148-2025 tillsynsbegäran.docx", "A 43148-2025")</f>
        <v/>
      </c>
      <c r="AB43">
        <f>HYPERLINK("https://klasma.github.io/Logging_1884/tillsynsmail/A 43148-2025 tillsynsbegäran mail.docx", "A 43148-2025")</f>
        <v/>
      </c>
    </row>
    <row r="44" ht="15" customHeight="1">
      <c r="A44" t="inlineStr">
        <is>
          <t>A 32498-2025</t>
        </is>
      </c>
      <c r="B44" t="inlineStr">
        <is>
          <t>avverkningsanmälan</t>
        </is>
      </c>
      <c r="C44" t="inlineStr">
        <is>
          <t>Föryngringsavverkning</t>
        </is>
      </c>
      <c r="D44" s="1" t="n">
        <v>45838</v>
      </c>
      <c r="E44" s="1" t="n">
        <v>46221</v>
      </c>
      <c r="F44" t="inlineStr">
        <is>
          <t>ÖREBRO LÄN</t>
        </is>
      </c>
      <c r="G44" t="inlineStr">
        <is>
          <t>NORA</t>
        </is>
      </c>
      <c r="H44" t="inlineStr">
        <is>
          <t>Sveaskog</t>
        </is>
      </c>
      <c r="I44" t="n">
        <v>3</v>
      </c>
      <c r="J44" t="n">
        <v>1</v>
      </c>
      <c r="K44" t="n">
        <v>0</v>
      </c>
      <c r="L44" t="n">
        <v>0</v>
      </c>
      <c r="M44" t="n">
        <v>0</v>
      </c>
      <c r="N44" t="n">
        <v>0</v>
      </c>
      <c r="O44" t="n">
        <v>0</v>
      </c>
      <c r="P44" t="n">
        <v>0</v>
      </c>
      <c r="Q44" t="n">
        <v>0</v>
      </c>
      <c r="R44" t="n">
        <v>0</v>
      </c>
      <c r="S44" t="n">
        <v>1</v>
      </c>
      <c r="T44" t="n">
        <v>2</v>
      </c>
      <c r="U44" s="2" t="inlineStr">
        <is>
          <t>Fläcknycklar</t>
        </is>
      </c>
      <c r="V44">
        <f>HYPERLINK("https://klasma.github.io/Logging_1884/artfynd/A 32498-2025 artfynd.xlsx", "A 32498-2025")</f>
        <v/>
      </c>
      <c r="W44">
        <f>HYPERLINK("https://klasma.github.io/Logging_1884/kartor/A 32498-2025 karta.png", "A 32498-2025")</f>
        <v/>
      </c>
      <c r="Y44">
        <f>HYPERLINK("https://klasma.github.io/Logging_1884/klagomål/A 32498-2025 FSC-klagomål.docx", "A 32498-2025")</f>
        <v/>
      </c>
      <c r="Z44">
        <f>HYPERLINK("https://klasma.github.io/Logging_1884/klagomålsmail/A 32498-2025 FSC-klagomål mail.docx", "A 32498-2025")</f>
        <v/>
      </c>
      <c r="AA44">
        <f>HYPERLINK("https://klasma.github.io/Logging_1884/tillsyn/A 32498-2025 tillsynsbegäran.docx", "A 32498-2025")</f>
        <v/>
      </c>
      <c r="AB44">
        <f>HYPERLINK("https://klasma.github.io/Logging_1884/tillsynsmail/A 32498-2025 tillsynsbegäran mail.docx", "A 32498-2025")</f>
        <v/>
      </c>
    </row>
    <row r="45" ht="15" customHeight="1">
      <c r="A45" t="inlineStr">
        <is>
          <t>A 34826-2025</t>
        </is>
      </c>
      <c r="B45" t="inlineStr">
        <is>
          <t>avverkningsanmälan</t>
        </is>
      </c>
      <c r="C45" t="inlineStr">
        <is>
          <t>Föryngringsavverkning</t>
        </is>
      </c>
      <c r="D45" s="1" t="n">
        <v>45849</v>
      </c>
      <c r="E45" s="1" t="n">
        <v>46221</v>
      </c>
      <c r="F45" t="inlineStr">
        <is>
          <t>ÖREBRO LÄN</t>
        </is>
      </c>
      <c r="G45" t="inlineStr">
        <is>
          <t>NORA</t>
        </is>
      </c>
      <c r="H45" t="inlineStr">
        <is>
          <t>Sveaskog</t>
        </is>
      </c>
      <c r="I45" t="n">
        <v>4.6</v>
      </c>
      <c r="J45" t="n">
        <v>1</v>
      </c>
      <c r="K45" t="n">
        <v>0</v>
      </c>
      <c r="L45" t="n">
        <v>0</v>
      </c>
      <c r="M45" t="n">
        <v>0</v>
      </c>
      <c r="N45" t="n">
        <v>0</v>
      </c>
      <c r="O45" t="n">
        <v>0</v>
      </c>
      <c r="P45" t="n">
        <v>0</v>
      </c>
      <c r="Q45" t="n">
        <v>0</v>
      </c>
      <c r="R45" t="n">
        <v>0</v>
      </c>
      <c r="S45" t="n">
        <v>1</v>
      </c>
      <c r="T45" t="n">
        <v>2</v>
      </c>
      <c r="U45" s="2" t="inlineStr">
        <is>
          <t>Fläcknycklar</t>
        </is>
      </c>
      <c r="V45">
        <f>HYPERLINK("https://klasma.github.io/Logging_1884/artfynd/A 34826-2025 artfynd.xlsx", "A 34826-2025")</f>
        <v/>
      </c>
      <c r="W45">
        <f>HYPERLINK("https://klasma.github.io/Logging_1884/kartor/A 34826-2025 karta.png", "A 34826-2025")</f>
        <v/>
      </c>
      <c r="Y45">
        <f>HYPERLINK("https://klasma.github.io/Logging_1884/klagomål/A 34826-2025 FSC-klagomål.docx", "A 34826-2025")</f>
        <v/>
      </c>
      <c r="Z45">
        <f>HYPERLINK("https://klasma.github.io/Logging_1884/klagomålsmail/A 34826-2025 FSC-klagomål mail.docx", "A 34826-2025")</f>
        <v/>
      </c>
      <c r="AA45">
        <f>HYPERLINK("https://klasma.github.io/Logging_1884/tillsyn/A 34826-2025 tillsynsbegäran.docx", "A 34826-2025")</f>
        <v/>
      </c>
      <c r="AB45">
        <f>HYPERLINK("https://klasma.github.io/Logging_1884/tillsynsmail/A 34826-2025 tillsynsbegäran mail.docx", "A 34826-2025")</f>
        <v/>
      </c>
    </row>
    <row r="46" ht="15" customHeight="1">
      <c r="A46" t="inlineStr">
        <is>
          <t>A 14477-2025</t>
        </is>
      </c>
      <c r="B46" t="inlineStr">
        <is>
          <t>avverkningsanmälan</t>
        </is>
      </c>
      <c r="C46" t="inlineStr">
        <is>
          <t>Avverkning för att bevara och utveckla /försöksver</t>
        </is>
      </c>
      <c r="D46" s="1" t="n">
        <v>45741</v>
      </c>
      <c r="E46" s="1" t="n">
        <v>46221</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s="2" t="inlineStr">
        <is>
          <t>Kattmynta</t>
        </is>
      </c>
      <c r="V46">
        <f>HYPERLINK("https://klasma.github.io/Logging_1884/artfynd/A 14477-2025 artfynd.xlsx", "A 14477-2025")</f>
        <v/>
      </c>
      <c r="W46">
        <f>HYPERLINK("https://klasma.github.io/Logging_1884/kartor/A 14477-2025 karta.png", "A 14477-2025")</f>
        <v/>
      </c>
      <c r="Y46">
        <f>HYPERLINK("https://klasma.github.io/Logging_1884/klagomål/A 14477-2025 FSC-klagomål.docx", "A 14477-2025")</f>
        <v/>
      </c>
      <c r="Z46">
        <f>HYPERLINK("https://klasma.github.io/Logging_1884/klagomålsmail/A 14477-2025 FSC-klagomål mail.docx", "A 14477-2025")</f>
        <v/>
      </c>
      <c r="AA46">
        <f>HYPERLINK("https://klasma.github.io/Logging_1884/tillsyn/A 14477-2025 tillsynsbegäran.docx", "A 14477-2025")</f>
        <v/>
      </c>
      <c r="AB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46221</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s="2" t="inlineStr">
        <is>
          <t>Flodpärlmussla</t>
        </is>
      </c>
      <c r="V47">
        <f>HYPERLINK("https://klasma.github.io/Logging_1884/artfynd/A 14482-2025 artfynd.xlsx", "A 14482-2025")</f>
        <v/>
      </c>
      <c r="W47">
        <f>HYPERLINK("https://klasma.github.io/Logging_1884/kartor/A 14482-2025 karta.png", "A 14482-2025")</f>
        <v/>
      </c>
      <c r="Y47">
        <f>HYPERLINK("https://klasma.github.io/Logging_1884/klagomål/A 14482-2025 FSC-klagomål.docx", "A 14482-2025")</f>
        <v/>
      </c>
      <c r="Z47">
        <f>HYPERLINK("https://klasma.github.io/Logging_1884/klagomålsmail/A 14482-2025 FSC-klagomål mail.docx", "A 14482-2025")</f>
        <v/>
      </c>
      <c r="AA47">
        <f>HYPERLINK("https://klasma.github.io/Logging_1884/tillsyn/A 14482-2025 tillsynsbegäran.docx", "A 14482-2025")</f>
        <v/>
      </c>
      <c r="AB47">
        <f>HYPERLINK("https://klasma.github.io/Logging_1884/tillsynsmail/A 14482-2025 tillsynsbegäran mail.docx", "A 14482-2025")</f>
        <v/>
      </c>
    </row>
    <row r="48" ht="15" customHeight="1">
      <c r="A48" t="inlineStr">
        <is>
          <t>A 48775-2025</t>
        </is>
      </c>
      <c r="B48" t="inlineStr">
        <is>
          <t>avverkningsanmälan</t>
        </is>
      </c>
      <c r="C48" t="inlineStr">
        <is>
          <t>Föryngringsavverkning</t>
        </is>
      </c>
      <c r="D48" s="1" t="n">
        <v>45937</v>
      </c>
      <c r="E48" s="1" t="n">
        <v>46221</v>
      </c>
      <c r="F48" t="inlineStr">
        <is>
          <t>ÖREBRO LÄN</t>
        </is>
      </c>
      <c r="G48" t="inlineStr">
        <is>
          <t>NORA</t>
        </is>
      </c>
      <c r="I48" t="n">
        <v>1.7</v>
      </c>
      <c r="J48" t="n">
        <v>0</v>
      </c>
      <c r="K48" t="n">
        <v>1</v>
      </c>
      <c r="L48" t="n">
        <v>0</v>
      </c>
      <c r="M48" t="n">
        <v>0</v>
      </c>
      <c r="N48" t="n">
        <v>0</v>
      </c>
      <c r="O48" t="n">
        <v>0</v>
      </c>
      <c r="P48" t="n">
        <v>0</v>
      </c>
      <c r="Q48" t="n">
        <v>0</v>
      </c>
      <c r="R48" t="n">
        <v>0</v>
      </c>
      <c r="S48" t="n">
        <v>1</v>
      </c>
      <c r="T48" t="n">
        <v>1</v>
      </c>
      <c r="U48" s="2" t="inlineStr">
        <is>
          <t>Tibast</t>
        </is>
      </c>
      <c r="V48">
        <f>HYPERLINK("https://klasma.github.io/Logging_1884/artfynd/A 48775-2025 artfynd.xlsx", "A 48775-2025")</f>
        <v/>
      </c>
      <c r="W48">
        <f>HYPERLINK("https://klasma.github.io/Logging_1884/kartor/A 48775-2025 karta.png", "A 48775-2025")</f>
        <v/>
      </c>
      <c r="Y48">
        <f>HYPERLINK("https://klasma.github.io/Logging_1884/klagomål/A 48775-2025 FSC-klagomål.docx", "A 48775-2025")</f>
        <v/>
      </c>
      <c r="Z48">
        <f>HYPERLINK("https://klasma.github.io/Logging_1884/klagomålsmail/A 48775-2025 FSC-klagomål mail.docx", "A 48775-2025")</f>
        <v/>
      </c>
      <c r="AA48">
        <f>HYPERLINK("https://klasma.github.io/Logging_1884/tillsyn/A 48775-2025 tillsynsbegäran.docx", "A 48775-2025")</f>
        <v/>
      </c>
      <c r="AB48">
        <f>HYPERLINK("https://klasma.github.io/Logging_1884/tillsynsmail/A 48775-2025 tillsynsbegäran mail.docx", "A 48775-2025")</f>
        <v/>
      </c>
    </row>
    <row r="49" ht="15" customHeight="1">
      <c r="A49" t="inlineStr">
        <is>
          <t>A 42049-2023</t>
        </is>
      </c>
      <c r="B49" t="inlineStr">
        <is>
          <t>avverkningsanmälan</t>
        </is>
      </c>
      <c r="C49" t="inlineStr">
        <is>
          <t>Avverkning för att bevara och utveckla /försöksver</t>
        </is>
      </c>
      <c r="D49" s="1" t="n">
        <v>45177</v>
      </c>
      <c r="E49" s="1" t="n">
        <v>46221</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s="2" t="inlineStr">
        <is>
          <t>Vitfläckig guldvinge</t>
        </is>
      </c>
      <c r="V49">
        <f>HYPERLINK("https://klasma.github.io/Logging_1884/artfynd/A 42049-2023 artfynd.xlsx", "A 42049-2023")</f>
        <v/>
      </c>
      <c r="W49">
        <f>HYPERLINK("https://klasma.github.io/Logging_1884/kartor/A 42049-2023 karta.png", "A 42049-2023")</f>
        <v/>
      </c>
      <c r="Y49">
        <f>HYPERLINK("https://klasma.github.io/Logging_1884/klagomål/A 42049-2023 FSC-klagomål.docx", "A 42049-2023")</f>
        <v/>
      </c>
      <c r="Z49">
        <f>HYPERLINK("https://klasma.github.io/Logging_1884/klagomålsmail/A 42049-2023 FSC-klagomål mail.docx", "A 42049-2023")</f>
        <v/>
      </c>
      <c r="AA49">
        <f>HYPERLINK("https://klasma.github.io/Logging_1884/tillsyn/A 42049-2023 tillsynsbegäran.docx", "A 42049-2023")</f>
        <v/>
      </c>
      <c r="AB49">
        <f>HYPERLINK("https://klasma.github.io/Logging_1884/tillsynsmail/A 42049-2023 tillsynsbegäran mail.docx", "A 42049-2023")</f>
        <v/>
      </c>
    </row>
    <row r="50" ht="15" customHeight="1">
      <c r="A50" t="inlineStr">
        <is>
          <t>A 16063-2023</t>
        </is>
      </c>
      <c r="B50" t="inlineStr">
        <is>
          <t>avverkningsanmälan</t>
        </is>
      </c>
      <c r="C50" t="inlineStr">
        <is>
          <t>Föryngringsavverkning</t>
        </is>
      </c>
      <c r="D50" s="1" t="n">
        <v>45027</v>
      </c>
      <c r="E50" s="1" t="n">
        <v>46221</v>
      </c>
      <c r="F50" t="inlineStr">
        <is>
          <t>ÖREBRO LÄN</t>
        </is>
      </c>
      <c r="G50" t="inlineStr">
        <is>
          <t>NORA</t>
        </is>
      </c>
      <c r="I50" t="n">
        <v>7.3</v>
      </c>
      <c r="J50" t="n">
        <v>0</v>
      </c>
      <c r="K50" t="n">
        <v>0</v>
      </c>
      <c r="L50" t="n">
        <v>0</v>
      </c>
      <c r="M50" t="n">
        <v>1</v>
      </c>
      <c r="N50" t="n">
        <v>0</v>
      </c>
      <c r="O50" t="n">
        <v>0</v>
      </c>
      <c r="P50" t="n">
        <v>0</v>
      </c>
      <c r="Q50" t="n">
        <v>1</v>
      </c>
      <c r="R50" t="n">
        <v>1</v>
      </c>
      <c r="S50" t="n">
        <v>1</v>
      </c>
      <c r="T50" t="n">
        <v>1</v>
      </c>
      <c r="U50" s="2" t="inlineStr">
        <is>
          <t>Violettkantad guldvinge</t>
        </is>
      </c>
      <c r="V50">
        <f>HYPERLINK("https://klasma.github.io/Logging_1884/artfynd/A 16063-2023 artfynd.xlsx", "A 16063-2023")</f>
        <v/>
      </c>
      <c r="W50">
        <f>HYPERLINK("https://klasma.github.io/Logging_1884/kartor/A 16063-2023 karta.png", "A 16063-2023")</f>
        <v/>
      </c>
      <c r="Y50">
        <f>HYPERLINK("https://klasma.github.io/Logging_1884/klagomål/A 16063-2023 FSC-klagomål.docx", "A 16063-2023")</f>
        <v/>
      </c>
      <c r="Z50">
        <f>HYPERLINK("https://klasma.github.io/Logging_1884/klagomålsmail/A 16063-2023 FSC-klagomål mail.docx", "A 16063-2023")</f>
        <v/>
      </c>
      <c r="AA50">
        <f>HYPERLINK("https://klasma.github.io/Logging_1884/tillsyn/A 16063-2023 tillsynsbegäran.docx", "A 16063-2023")</f>
        <v/>
      </c>
      <c r="AB50">
        <f>HYPERLINK("https://klasma.github.io/Logging_1884/tillsynsmail/A 16063-2023 tillsynsbegäran mail.docx", "A 16063-2023")</f>
        <v/>
      </c>
    </row>
    <row r="51" ht="15" customHeight="1">
      <c r="A51" t="inlineStr">
        <is>
          <t>A 52639-2023</t>
        </is>
      </c>
      <c r="B51" t="inlineStr">
        <is>
          <t>avverkningsanmälan</t>
        </is>
      </c>
      <c r="C51" t="inlineStr">
        <is>
          <t>Föryngringsavverkning</t>
        </is>
      </c>
      <c r="D51" s="1" t="n">
        <v>45219</v>
      </c>
      <c r="E51" s="1" t="n">
        <v>46221</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s="2" t="inlineStr">
        <is>
          <t>Grönsångare</t>
        </is>
      </c>
      <c r="V51">
        <f>HYPERLINK("https://klasma.github.io/Logging_1884/artfynd/A 52639-2023 artfynd.xlsx", "A 52639-2023")</f>
        <v/>
      </c>
      <c r="W51">
        <f>HYPERLINK("https://klasma.github.io/Logging_1884/kartor/A 52639-2023 karta.png", "A 52639-2023")</f>
        <v/>
      </c>
      <c r="Y51">
        <f>HYPERLINK("https://klasma.github.io/Logging_1884/klagomål/A 52639-2023 FSC-klagomål.docx", "A 52639-2023")</f>
        <v/>
      </c>
      <c r="Z51">
        <f>HYPERLINK("https://klasma.github.io/Logging_1884/klagomålsmail/A 52639-2023 FSC-klagomål mail.docx", "A 52639-2023")</f>
        <v/>
      </c>
      <c r="AA51">
        <f>HYPERLINK("https://klasma.github.io/Logging_1884/tillsyn/A 52639-2023 tillsynsbegäran.docx", "A 52639-2023")</f>
        <v/>
      </c>
      <c r="AB51">
        <f>HYPERLINK("https://klasma.github.io/Logging_1884/tillsynsmail/A 52639-2023 tillsynsbegäran mail.docx", "A 52639-2023")</f>
        <v/>
      </c>
      <c r="AC51">
        <f>HYPERLINK("https://klasma.github.io/Logging_1884/fåglar/A 52639-2023 prioriterade fågelarter.docx", "A 52639-2023")</f>
        <v/>
      </c>
    </row>
    <row r="52" ht="15" customHeight="1">
      <c r="A52" t="inlineStr">
        <is>
          <t>A 36089-2025</t>
        </is>
      </c>
      <c r="B52" t="inlineStr">
        <is>
          <t>avverkningsanmälan</t>
        </is>
      </c>
      <c r="C52" t="inlineStr">
        <is>
          <t>Föryngringsavverkning</t>
        </is>
      </c>
      <c r="D52" s="1" t="n">
        <v>45866</v>
      </c>
      <c r="E52" s="1" t="n">
        <v>46221</v>
      </c>
      <c r="F52" t="inlineStr">
        <is>
          <t>ÖREBRO LÄN</t>
        </is>
      </c>
      <c r="G52" t="inlineStr">
        <is>
          <t>NORA</t>
        </is>
      </c>
      <c r="I52" t="n">
        <v>1.9</v>
      </c>
      <c r="J52" t="n">
        <v>1</v>
      </c>
      <c r="K52" t="n">
        <v>0</v>
      </c>
      <c r="L52" t="n">
        <v>0</v>
      </c>
      <c r="M52" t="n">
        <v>0</v>
      </c>
      <c r="N52" t="n">
        <v>0</v>
      </c>
      <c r="O52" t="n">
        <v>0</v>
      </c>
      <c r="P52" t="n">
        <v>0</v>
      </c>
      <c r="Q52" t="n">
        <v>0</v>
      </c>
      <c r="R52" t="n">
        <v>0</v>
      </c>
      <c r="S52" t="n">
        <v>1</v>
      </c>
      <c r="T52" t="n">
        <v>1</v>
      </c>
      <c r="U52" s="2" t="inlineStr">
        <is>
          <t>Fläcknycklar</t>
        </is>
      </c>
      <c r="V52">
        <f>HYPERLINK("https://klasma.github.io/Logging_1884/artfynd/A 36089-2025 artfynd.xlsx", "A 36089-2025")</f>
        <v/>
      </c>
      <c r="W52">
        <f>HYPERLINK("https://klasma.github.io/Logging_1884/kartor/A 36089-2025 karta.png", "A 36089-2025")</f>
        <v/>
      </c>
      <c r="Y52">
        <f>HYPERLINK("https://klasma.github.io/Logging_1884/klagomål/A 36089-2025 FSC-klagomål.docx", "A 36089-2025")</f>
        <v/>
      </c>
      <c r="Z52">
        <f>HYPERLINK("https://klasma.github.io/Logging_1884/klagomålsmail/A 36089-2025 FSC-klagomål mail.docx", "A 36089-2025")</f>
        <v/>
      </c>
      <c r="AA52">
        <f>HYPERLINK("https://klasma.github.io/Logging_1884/tillsyn/A 36089-2025 tillsynsbegäran.docx", "A 36089-2025")</f>
        <v/>
      </c>
      <c r="AB52">
        <f>HYPERLINK("https://klasma.github.io/Logging_1884/tillsynsmail/A 36089-2025 tillsynsbegäran mail.docx", "A 36089-2025")</f>
        <v/>
      </c>
    </row>
    <row r="53" ht="15" customHeight="1">
      <c r="A53" t="inlineStr">
        <is>
          <t>A 53129-2023</t>
        </is>
      </c>
      <c r="B53" t="inlineStr">
        <is>
          <t>avverkningsanmälan</t>
        </is>
      </c>
      <c r="C53" t="inlineStr">
        <is>
          <t>Föryngringsavverkning</t>
        </is>
      </c>
      <c r="D53" s="1" t="n">
        <v>45229</v>
      </c>
      <c r="E53" s="1" t="n">
        <v>46221</v>
      </c>
      <c r="F53" t="inlineStr">
        <is>
          <t>ÖREBRO LÄN</t>
        </is>
      </c>
      <c r="G53" t="inlineStr">
        <is>
          <t>NORA</t>
        </is>
      </c>
      <c r="I53" t="n">
        <v>7</v>
      </c>
      <c r="J53" t="n">
        <v>0</v>
      </c>
      <c r="K53" t="n">
        <v>0</v>
      </c>
      <c r="L53" t="n">
        <v>1</v>
      </c>
      <c r="M53" t="n">
        <v>0</v>
      </c>
      <c r="N53" t="n">
        <v>0</v>
      </c>
      <c r="O53" t="n">
        <v>0</v>
      </c>
      <c r="P53" t="n">
        <v>0</v>
      </c>
      <c r="Q53" t="n">
        <v>1</v>
      </c>
      <c r="R53" t="n">
        <v>0</v>
      </c>
      <c r="S53" t="n">
        <v>1</v>
      </c>
      <c r="T53" t="n">
        <v>1</v>
      </c>
      <c r="U53" s="2" t="inlineStr">
        <is>
          <t>Skogstrappmossa</t>
        </is>
      </c>
      <c r="V53">
        <f>HYPERLINK("https://klasma.github.io/Logging_1884/artfynd/A 53129-2023 artfynd.xlsx", "A 53129-2023")</f>
        <v/>
      </c>
      <c r="W53">
        <f>HYPERLINK("https://klasma.github.io/Logging_1884/kartor/A 53129-2023 karta.png", "A 53129-2023")</f>
        <v/>
      </c>
      <c r="Y53">
        <f>HYPERLINK("https://klasma.github.io/Logging_1884/klagomål/A 53129-2023 FSC-klagomål.docx", "A 53129-2023")</f>
        <v/>
      </c>
      <c r="Z53">
        <f>HYPERLINK("https://klasma.github.io/Logging_1884/klagomålsmail/A 53129-2023 FSC-klagomål mail.docx", "A 53129-2023")</f>
        <v/>
      </c>
      <c r="AA53">
        <f>HYPERLINK("https://klasma.github.io/Logging_1884/tillsyn/A 53129-2023 tillsynsbegäran.docx", "A 53129-2023")</f>
        <v/>
      </c>
      <c r="AB53">
        <f>HYPERLINK("https://klasma.github.io/Logging_1884/tillsynsmail/A 53129-2023 tillsynsbegäran mail.docx", "A 53129-2023")</f>
        <v/>
      </c>
    </row>
    <row r="54" ht="15" customHeight="1">
      <c r="A54" t="inlineStr">
        <is>
          <t>A 14312-2025</t>
        </is>
      </c>
      <c r="B54" t="inlineStr">
        <is>
          <t>avverkningsanmälan</t>
        </is>
      </c>
      <c r="C54" t="inlineStr">
        <is>
          <t>Föryngringsavverkning</t>
        </is>
      </c>
      <c r="D54" s="1" t="n">
        <v>45740</v>
      </c>
      <c r="E54" s="1" t="n">
        <v>46221</v>
      </c>
      <c r="F54" t="inlineStr">
        <is>
          <t>ÖREBRO LÄN</t>
        </is>
      </c>
      <c r="G54" t="inlineStr">
        <is>
          <t>NORA</t>
        </is>
      </c>
      <c r="I54" t="n">
        <v>2.9</v>
      </c>
      <c r="J54" t="n">
        <v>1</v>
      </c>
      <c r="K54" t="n">
        <v>0</v>
      </c>
      <c r="L54" t="n">
        <v>0</v>
      </c>
      <c r="M54" t="n">
        <v>0</v>
      </c>
      <c r="N54" t="n">
        <v>0</v>
      </c>
      <c r="O54" t="n">
        <v>0</v>
      </c>
      <c r="P54" t="n">
        <v>0</v>
      </c>
      <c r="Q54" t="n">
        <v>0</v>
      </c>
      <c r="R54" t="n">
        <v>0</v>
      </c>
      <c r="S54" t="n">
        <v>1</v>
      </c>
      <c r="T54" t="n">
        <v>3</v>
      </c>
      <c r="U54" s="2" t="inlineStr">
        <is>
          <t>Spillkråka</t>
        </is>
      </c>
      <c r="V54">
        <f>HYPERLINK("https://klasma.github.io/Logging_1884/artfynd/A 14312-2025 artfynd.xlsx", "A 14312-2025")</f>
        <v/>
      </c>
      <c r="W54">
        <f>HYPERLINK("https://klasma.github.io/Logging_1884/kartor/A 14312-2025 karta.png", "A 14312-2025")</f>
        <v/>
      </c>
      <c r="Y54">
        <f>HYPERLINK("https://klasma.github.io/Logging_1884/klagomål/A 14312-2025 FSC-klagomål.docx", "A 14312-2025")</f>
        <v/>
      </c>
      <c r="Z54">
        <f>HYPERLINK("https://klasma.github.io/Logging_1884/klagomålsmail/A 14312-2025 FSC-klagomål mail.docx", "A 14312-2025")</f>
        <v/>
      </c>
      <c r="AA54">
        <f>HYPERLINK("https://klasma.github.io/Logging_1884/tillsyn/A 14312-2025 tillsynsbegäran.docx", "A 14312-2025")</f>
        <v/>
      </c>
      <c r="AB54">
        <f>HYPERLINK("https://klasma.github.io/Logging_1884/tillsynsmail/A 14312-2025 tillsynsbegäran mail.docx", "A 14312-2025")</f>
        <v/>
      </c>
      <c r="AC54">
        <f>HYPERLINK("https://klasma.github.io/Logging_1884/fåglar/A 14312-2025 prioriterade fågelarter.docx", "A 14312-2025")</f>
        <v/>
      </c>
    </row>
    <row r="55" ht="15" customHeight="1">
      <c r="A55" t="inlineStr">
        <is>
          <t>A 31957-2024</t>
        </is>
      </c>
      <c r="B55" t="inlineStr">
        <is>
          <t>avverkningsanmälan</t>
        </is>
      </c>
      <c r="C55" t="inlineStr">
        <is>
          <t>Föryngringsavverkning</t>
        </is>
      </c>
      <c r="D55" s="1" t="n">
        <v>45510</v>
      </c>
      <c r="E55" s="1" t="n">
        <v>46221</v>
      </c>
      <c r="F55" t="inlineStr">
        <is>
          <t>ÖREBRO LÄN</t>
        </is>
      </c>
      <c r="G55" t="inlineStr">
        <is>
          <t>NORA</t>
        </is>
      </c>
      <c r="I55" t="n">
        <v>0.6</v>
      </c>
      <c r="J55" t="n">
        <v>1</v>
      </c>
      <c r="K55" t="n">
        <v>0</v>
      </c>
      <c r="L55" t="n">
        <v>0</v>
      </c>
      <c r="M55" t="n">
        <v>0</v>
      </c>
      <c r="N55" t="n">
        <v>0</v>
      </c>
      <c r="O55" t="n">
        <v>0</v>
      </c>
      <c r="P55" t="n">
        <v>0</v>
      </c>
      <c r="Q55" t="n">
        <v>0</v>
      </c>
      <c r="R55" t="n">
        <v>0</v>
      </c>
      <c r="S55" t="n">
        <v>1</v>
      </c>
      <c r="T55" t="n">
        <v>1</v>
      </c>
      <c r="U55" s="2" t="inlineStr">
        <is>
          <t>Fläcknycklar</t>
        </is>
      </c>
      <c r="V55">
        <f>HYPERLINK("https://klasma.github.io/Logging_1884/artfynd/A 31957-2024 artfynd.xlsx", "A 31957-2024")</f>
        <v/>
      </c>
      <c r="W55">
        <f>HYPERLINK("https://klasma.github.io/Logging_1884/kartor/A 31957-2024 karta.png", "A 31957-2024")</f>
        <v/>
      </c>
      <c r="Y55">
        <f>HYPERLINK("https://klasma.github.io/Logging_1884/klagomål/A 31957-2024 FSC-klagomål.docx", "A 31957-2024")</f>
        <v/>
      </c>
      <c r="Z55">
        <f>HYPERLINK("https://klasma.github.io/Logging_1884/klagomålsmail/A 31957-2024 FSC-klagomål mail.docx", "A 31957-2024")</f>
        <v/>
      </c>
      <c r="AA55">
        <f>HYPERLINK("https://klasma.github.io/Logging_1884/tillsyn/A 31957-2024 tillsynsbegäran.docx", "A 31957-2024")</f>
        <v/>
      </c>
      <c r="AB55">
        <f>HYPERLINK("https://klasma.github.io/Logging_1884/tillsynsmail/A 31957-2024 tillsynsbegäran mail.docx", "A 31957-2024")</f>
        <v/>
      </c>
    </row>
    <row r="56" ht="15" customHeight="1">
      <c r="A56" t="inlineStr">
        <is>
          <t>A 30586-2026</t>
        </is>
      </c>
      <c r="B56" t="inlineStr">
        <is>
          <t>avverkningsanmälan</t>
        </is>
      </c>
      <c r="C56" t="inlineStr">
        <is>
          <t>Föryngringsavverkning</t>
        </is>
      </c>
      <c r="D56" s="1" t="n">
        <v>46210</v>
      </c>
      <c r="E56" s="1" t="n">
        <v>46221</v>
      </c>
      <c r="F56" t="inlineStr">
        <is>
          <t>ÖREBRO LÄN</t>
        </is>
      </c>
      <c r="G56" t="inlineStr">
        <is>
          <t>NORA</t>
        </is>
      </c>
      <c r="I56" t="n">
        <v>1.3</v>
      </c>
      <c r="J56" t="n">
        <v>0</v>
      </c>
      <c r="K56" t="n">
        <v>0</v>
      </c>
      <c r="L56" t="n">
        <v>0</v>
      </c>
      <c r="M56" t="n">
        <v>0</v>
      </c>
      <c r="N56" t="n">
        <v>1</v>
      </c>
      <c r="O56" t="n">
        <v>0</v>
      </c>
      <c r="P56" t="n">
        <v>0</v>
      </c>
      <c r="Q56" t="n">
        <v>1</v>
      </c>
      <c r="R56" t="n">
        <v>1</v>
      </c>
      <c r="S56" t="n">
        <v>1</v>
      </c>
      <c r="T56" t="n">
        <v>1</v>
      </c>
      <c r="U56" s="2" t="inlineStr">
        <is>
          <t>Ask</t>
        </is>
      </c>
      <c r="V56">
        <f>HYPERLINK("https://klasma.github.io/Logging_1884/artfynd/A 30586-2026 artfynd.xlsx", "A 30586-2026")</f>
        <v/>
      </c>
      <c r="W56">
        <f>HYPERLINK("https://klasma.github.io/Logging_1884/kartor/A 30586-2026 karta.png", "A 30586-2026")</f>
        <v/>
      </c>
      <c r="Y56">
        <f>HYPERLINK("https://klasma.github.io/Logging_1884/klagomål/A 30586-2026 FSC-klagomål.docx", "A 30586-2026")</f>
        <v/>
      </c>
      <c r="Z56">
        <f>HYPERLINK("https://klasma.github.io/Logging_1884/klagomålsmail/A 30586-2026 FSC-klagomål mail.docx", "A 30586-2026")</f>
        <v/>
      </c>
      <c r="AA56">
        <f>HYPERLINK("https://klasma.github.io/Logging_1884/tillsyn/A 30586-2026 tillsynsbegäran.docx", "A 30586-2026")</f>
        <v/>
      </c>
      <c r="AB56">
        <f>HYPERLINK("https://klasma.github.io/Logging_1884/tillsynsmail/A 30586-2026 tillsynsbegäran mail.docx", "A 30586-2026")</f>
        <v/>
      </c>
    </row>
    <row r="57" ht="15" customHeight="1">
      <c r="A57" t="inlineStr">
        <is>
          <t>A 25723-2023</t>
        </is>
      </c>
      <c r="B57" t="inlineStr">
        <is>
          <t>avverkningsanmälan</t>
        </is>
      </c>
      <c r="C57" t="inlineStr">
        <is>
          <t>Föryngringsavverkning</t>
        </is>
      </c>
      <c r="D57" s="1" t="n">
        <v>45090</v>
      </c>
      <c r="E57" s="1" t="n">
        <v>46221</v>
      </c>
      <c r="F57" t="inlineStr">
        <is>
          <t>ÖREBRO LÄN</t>
        </is>
      </c>
      <c r="G57" t="inlineStr">
        <is>
          <t>NORA</t>
        </is>
      </c>
      <c r="I57" t="n">
        <v>0.6</v>
      </c>
      <c r="J57" t="n">
        <v>0</v>
      </c>
      <c r="K57" t="n">
        <v>0</v>
      </c>
      <c r="L57" t="n">
        <v>1</v>
      </c>
      <c r="M57" t="n">
        <v>0</v>
      </c>
      <c r="N57" t="n">
        <v>0</v>
      </c>
      <c r="O57" t="n">
        <v>0</v>
      </c>
      <c r="P57" t="n">
        <v>0</v>
      </c>
      <c r="Q57" t="n">
        <v>1</v>
      </c>
      <c r="R57" t="n">
        <v>0</v>
      </c>
      <c r="S57" t="n">
        <v>1</v>
      </c>
      <c r="T57" t="n">
        <v>1</v>
      </c>
      <c r="U57" s="2" t="inlineStr">
        <is>
          <t>Älg</t>
        </is>
      </c>
      <c r="V57">
        <f>HYPERLINK("https://klasma.github.io/Logging_1884/artfynd/A 25723-2023 artfynd.xlsx", "A 25723-2023")</f>
        <v/>
      </c>
      <c r="W57">
        <f>HYPERLINK("https://klasma.github.io/Logging_1884/kartor/A 25723-2023 karta.png", "A 25723-2023")</f>
        <v/>
      </c>
      <c r="Y57">
        <f>HYPERLINK("https://klasma.github.io/Logging_1884/klagomål/A 25723-2023 FSC-klagomål.docx", "A 25723-2023")</f>
        <v/>
      </c>
      <c r="Z57">
        <f>HYPERLINK("https://klasma.github.io/Logging_1884/klagomålsmail/A 25723-2023 FSC-klagomål mail.docx", "A 25723-2023")</f>
        <v/>
      </c>
      <c r="AA57">
        <f>HYPERLINK("https://klasma.github.io/Logging_1884/tillsyn/A 25723-2023 tillsynsbegäran.docx", "A 25723-2023")</f>
        <v/>
      </c>
      <c r="AB57">
        <f>HYPERLINK("https://klasma.github.io/Logging_1884/tillsynsmail/A 25723-2023 tillsynsbegäran mail.docx", "A 25723-2023")</f>
        <v/>
      </c>
    </row>
    <row r="58" ht="15" customHeight="1">
      <c r="A58" t="inlineStr">
        <is>
          <t>A 15327-2024</t>
        </is>
      </c>
      <c r="B58" t="inlineStr">
        <is>
          <t>avverkningsanmälan</t>
        </is>
      </c>
      <c r="C58" t="inlineStr">
        <is>
          <t>Föryngringsavverkning</t>
        </is>
      </c>
      <c r="D58" s="1" t="n">
        <v>45400</v>
      </c>
      <c r="E58" s="1" t="n">
        <v>46221</v>
      </c>
      <c r="F58" t="inlineStr">
        <is>
          <t>ÖREBRO LÄN</t>
        </is>
      </c>
      <c r="G58" t="inlineStr">
        <is>
          <t>NORA</t>
        </is>
      </c>
      <c r="I58" t="n">
        <v>3.5</v>
      </c>
      <c r="J58" t="n">
        <v>0</v>
      </c>
      <c r="K58" t="n">
        <v>0</v>
      </c>
      <c r="L58" t="n">
        <v>1</v>
      </c>
      <c r="M58" t="n">
        <v>0</v>
      </c>
      <c r="N58" t="n">
        <v>0</v>
      </c>
      <c r="O58" t="n">
        <v>0</v>
      </c>
      <c r="P58" t="n">
        <v>0</v>
      </c>
      <c r="Q58" t="n">
        <v>1</v>
      </c>
      <c r="R58" t="n">
        <v>0</v>
      </c>
      <c r="S58" t="n">
        <v>1</v>
      </c>
      <c r="T58" t="n">
        <v>1</v>
      </c>
      <c r="U58" s="2" t="inlineStr">
        <is>
          <t>Violettgrå tagellav</t>
        </is>
      </c>
      <c r="V58">
        <f>HYPERLINK("https://klasma.github.io/Logging_1884/artfynd/A 15327-2024 artfynd.xlsx", "A 15327-2024")</f>
        <v/>
      </c>
      <c r="W58">
        <f>HYPERLINK("https://klasma.github.io/Logging_1884/kartor/A 15327-2024 karta.png", "A 15327-2024")</f>
        <v/>
      </c>
      <c r="Y58">
        <f>HYPERLINK("https://klasma.github.io/Logging_1884/klagomål/A 15327-2024 FSC-klagomål.docx", "A 15327-2024")</f>
        <v/>
      </c>
      <c r="Z58">
        <f>HYPERLINK("https://klasma.github.io/Logging_1884/klagomålsmail/A 15327-2024 FSC-klagomål mail.docx", "A 15327-2024")</f>
        <v/>
      </c>
      <c r="AA58">
        <f>HYPERLINK("https://klasma.github.io/Logging_1884/tillsyn/A 15327-2024 tillsynsbegäran.docx", "A 15327-2024")</f>
        <v/>
      </c>
      <c r="AB58">
        <f>HYPERLINK("https://klasma.github.io/Logging_1884/tillsynsmail/A 15327-2024 tillsynsbegäran mail.docx", "A 15327-2024")</f>
        <v/>
      </c>
    </row>
    <row r="59" ht="15" customHeight="1">
      <c r="A59" t="inlineStr">
        <is>
          <t>A 53165-2022</t>
        </is>
      </c>
      <c r="B59" t="inlineStr">
        <is>
          <t>avverkningsanmälan</t>
        </is>
      </c>
      <c r="C59" t="inlineStr">
        <is>
          <t>Föryngringsavverkning</t>
        </is>
      </c>
      <c r="D59" s="1" t="n">
        <v>44876</v>
      </c>
      <c r="E59" s="1" t="n">
        <v>46221</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67298-2021</t>
        </is>
      </c>
      <c r="B60" t="inlineStr">
        <is>
          <t>avverkningsanmälan</t>
        </is>
      </c>
      <c r="C60" t="inlineStr">
        <is>
          <t>Föryngringsavverkning</t>
        </is>
      </c>
      <c r="D60" s="1" t="n">
        <v>44523</v>
      </c>
      <c r="E60" s="1" t="n">
        <v>46221</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s="2" t="inlineStr"/>
    </row>
    <row r="61" ht="15" customHeight="1">
      <c r="A61" t="inlineStr">
        <is>
          <t>A 40338-2021</t>
        </is>
      </c>
      <c r="B61" t="inlineStr">
        <is>
          <t>avverkningsanmälan</t>
        </is>
      </c>
      <c r="C61" t="inlineStr">
        <is>
          <t>Föryngringsavverkning</t>
        </is>
      </c>
      <c r="D61" s="1" t="n">
        <v>44419</v>
      </c>
      <c r="E61" s="1" t="n">
        <v>46221</v>
      </c>
      <c r="F61" t="inlineStr">
        <is>
          <t>ÖREBRO LÄN</t>
        </is>
      </c>
      <c r="G61" t="inlineStr">
        <is>
          <t>NORA</t>
        </is>
      </c>
      <c r="I61" t="n">
        <v>0.7</v>
      </c>
      <c r="J61" t="n">
        <v>0</v>
      </c>
      <c r="K61" t="n">
        <v>0</v>
      </c>
      <c r="L61" t="n">
        <v>0</v>
      </c>
      <c r="M61" t="n">
        <v>0</v>
      </c>
      <c r="N61" t="n">
        <v>0</v>
      </c>
      <c r="O61" t="n">
        <v>0</v>
      </c>
      <c r="P61" t="n">
        <v>0</v>
      </c>
      <c r="Q61" t="n">
        <v>0</v>
      </c>
      <c r="R61" t="n">
        <v>0</v>
      </c>
      <c r="S61" t="n">
        <v>0</v>
      </c>
      <c r="T61" t="n">
        <v>0</v>
      </c>
      <c r="U61" s="2" t="inlineStr"/>
    </row>
    <row r="62" ht="15" customHeight="1">
      <c r="A62" t="inlineStr">
        <is>
          <t>A 49633-2022</t>
        </is>
      </c>
      <c r="B62" t="inlineStr">
        <is>
          <t>avverkningsanmälan</t>
        </is>
      </c>
      <c r="C62" t="inlineStr">
        <is>
          <t>Föryngringsavverkning</t>
        </is>
      </c>
      <c r="D62" s="1" t="n">
        <v>44862</v>
      </c>
      <c r="E62" s="1" t="n">
        <v>46221</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35673-2022</t>
        </is>
      </c>
      <c r="B63" t="inlineStr">
        <is>
          <t>avverkningsanmälan</t>
        </is>
      </c>
      <c r="C63" t="inlineStr">
        <is>
          <t>Föryngringsavverkning</t>
        </is>
      </c>
      <c r="D63" s="1" t="n">
        <v>44799</v>
      </c>
      <c r="E63" s="1" t="n">
        <v>46221</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s="2" t="inlineStr"/>
    </row>
    <row r="64" ht="15" customHeight="1">
      <c r="A64" t="inlineStr">
        <is>
          <t>A 74451-2021</t>
        </is>
      </c>
      <c r="B64" t="inlineStr">
        <is>
          <t>avverkningsanmälan</t>
        </is>
      </c>
      <c r="C64" t="inlineStr">
        <is>
          <t>Avverkning för annat ändamål</t>
        </is>
      </c>
      <c r="D64" s="1" t="n">
        <v>44560</v>
      </c>
      <c r="E64" s="1" t="n">
        <v>46221</v>
      </c>
      <c r="F64" t="inlineStr">
        <is>
          <t>ÖREBRO LÄN</t>
        </is>
      </c>
      <c r="G64" t="inlineStr">
        <is>
          <t>NORA</t>
        </is>
      </c>
      <c r="I64" t="n">
        <v>0.2</v>
      </c>
      <c r="J64" t="n">
        <v>0</v>
      </c>
      <c r="K64" t="n">
        <v>0</v>
      </c>
      <c r="L64" t="n">
        <v>0</v>
      </c>
      <c r="M64" t="n">
        <v>0</v>
      </c>
      <c r="N64" t="n">
        <v>0</v>
      </c>
      <c r="O64" t="n">
        <v>0</v>
      </c>
      <c r="P64" t="n">
        <v>0</v>
      </c>
      <c r="Q64" t="n">
        <v>0</v>
      </c>
      <c r="R64" t="n">
        <v>0</v>
      </c>
      <c r="S64" t="n">
        <v>0</v>
      </c>
      <c r="T64" t="n">
        <v>0</v>
      </c>
      <c r="U64" s="2" t="inlineStr"/>
    </row>
    <row r="65" ht="15" customHeight="1">
      <c r="A65" t="inlineStr">
        <is>
          <t>A 68890-2021</t>
        </is>
      </c>
      <c r="B65" t="inlineStr">
        <is>
          <t>avverkningsanmälan</t>
        </is>
      </c>
      <c r="C65" t="inlineStr">
        <is>
          <t>Föryngringsavverkning</t>
        </is>
      </c>
      <c r="D65" s="1" t="n">
        <v>44530</v>
      </c>
      <c r="E65" s="1" t="n">
        <v>46221</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s="2" t="inlineStr"/>
    </row>
    <row r="66" ht="15" customHeight="1">
      <c r="A66" t="inlineStr">
        <is>
          <t>A 30422-2022</t>
        </is>
      </c>
      <c r="B66" t="inlineStr">
        <is>
          <t>avverkningsanmälan</t>
        </is>
      </c>
      <c r="C66" t="inlineStr">
        <is>
          <t>Föryngringsavverkning</t>
        </is>
      </c>
      <c r="D66" s="1" t="n">
        <v>44761</v>
      </c>
      <c r="E66" s="1" t="n">
        <v>46221</v>
      </c>
      <c r="F66" t="inlineStr">
        <is>
          <t>ÖREBRO LÄN</t>
        </is>
      </c>
      <c r="G66" t="inlineStr">
        <is>
          <t>NORA</t>
        </is>
      </c>
      <c r="I66" t="n">
        <v>1.2</v>
      </c>
      <c r="J66" t="n">
        <v>0</v>
      </c>
      <c r="K66" t="n">
        <v>0</v>
      </c>
      <c r="L66" t="n">
        <v>0</v>
      </c>
      <c r="M66" t="n">
        <v>0</v>
      </c>
      <c r="N66" t="n">
        <v>0</v>
      </c>
      <c r="O66" t="n">
        <v>0</v>
      </c>
      <c r="P66" t="n">
        <v>0</v>
      </c>
      <c r="Q66" t="n">
        <v>0</v>
      </c>
      <c r="R66" t="n">
        <v>0</v>
      </c>
      <c r="S66" t="n">
        <v>0</v>
      </c>
      <c r="T66" t="n">
        <v>0</v>
      </c>
      <c r="U66" s="2" t="inlineStr"/>
    </row>
    <row r="67" ht="15" customHeight="1">
      <c r="A67" t="inlineStr">
        <is>
          <t>A 47794-2021</t>
        </is>
      </c>
      <c r="B67" t="inlineStr">
        <is>
          <t>avverkningsanmälan</t>
        </is>
      </c>
      <c r="C67" t="inlineStr">
        <is>
          <t>Föryngringsavverkning</t>
        </is>
      </c>
      <c r="D67" s="1" t="n">
        <v>44448</v>
      </c>
      <c r="E67" s="1" t="n">
        <v>46221</v>
      </c>
      <c r="F67" t="inlineStr">
        <is>
          <t>ÖREBRO LÄN</t>
        </is>
      </c>
      <c r="G67" t="inlineStr">
        <is>
          <t>NORA</t>
        </is>
      </c>
      <c r="I67" t="n">
        <v>0.6</v>
      </c>
      <c r="J67" t="n">
        <v>0</v>
      </c>
      <c r="K67" t="n">
        <v>0</v>
      </c>
      <c r="L67" t="n">
        <v>0</v>
      </c>
      <c r="M67" t="n">
        <v>0</v>
      </c>
      <c r="N67" t="n">
        <v>0</v>
      </c>
      <c r="O67" t="n">
        <v>0</v>
      </c>
      <c r="P67" t="n">
        <v>0</v>
      </c>
      <c r="Q67" t="n">
        <v>0</v>
      </c>
      <c r="R67" t="n">
        <v>0</v>
      </c>
      <c r="S67" t="n">
        <v>0</v>
      </c>
      <c r="T67" t="n">
        <v>0</v>
      </c>
      <c r="U67" s="2" t="inlineStr"/>
    </row>
    <row r="68" ht="15" customHeight="1">
      <c r="A68" t="inlineStr">
        <is>
          <t>A 35870-2022</t>
        </is>
      </c>
      <c r="B68" t="inlineStr">
        <is>
          <t>avverkningsanmälan</t>
        </is>
      </c>
      <c r="C68" t="inlineStr">
        <is>
          <t>Föryngringsavverkning</t>
        </is>
      </c>
      <c r="D68" s="1" t="n">
        <v>44802</v>
      </c>
      <c r="E68" s="1" t="n">
        <v>46221</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s="2" t="inlineStr"/>
    </row>
    <row r="69" ht="15" customHeight="1">
      <c r="A69" t="inlineStr">
        <is>
          <t>A 42899-2021</t>
        </is>
      </c>
      <c r="B69" t="inlineStr">
        <is>
          <t>avverkningsanmälan</t>
        </is>
      </c>
      <c r="C69" t="inlineStr">
        <is>
          <t>Föryngringsavverkning</t>
        </is>
      </c>
      <c r="D69" s="1" t="n">
        <v>44431</v>
      </c>
      <c r="E69" s="1" t="n">
        <v>46221</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s="2" t="inlineStr"/>
    </row>
    <row r="70" ht="15" customHeight="1">
      <c r="A70" t="inlineStr">
        <is>
          <t>A 37259-2022</t>
        </is>
      </c>
      <c r="B70" t="inlineStr">
        <is>
          <t>avverkningsanmälan</t>
        </is>
      </c>
      <c r="C70" t="inlineStr">
        <is>
          <t>Föryngringsavverkning</t>
        </is>
      </c>
      <c r="D70" s="1" t="n">
        <v>44807</v>
      </c>
      <c r="E70" s="1" t="n">
        <v>46221</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s="2" t="inlineStr"/>
    </row>
    <row r="71" ht="15" customHeight="1">
      <c r="A71" t="inlineStr">
        <is>
          <t>A 18636-2022</t>
        </is>
      </c>
      <c r="B71" t="inlineStr">
        <is>
          <t>avverkningsanmälan</t>
        </is>
      </c>
      <c r="C71" t="inlineStr">
        <is>
          <t>Föryngringsavverkning</t>
        </is>
      </c>
      <c r="D71" s="1" t="n">
        <v>44687</v>
      </c>
      <c r="E71" s="1" t="n">
        <v>46221</v>
      </c>
      <c r="F71" t="inlineStr">
        <is>
          <t>ÖREBRO LÄN</t>
        </is>
      </c>
      <c r="G71" t="inlineStr">
        <is>
          <t>NORA</t>
        </is>
      </c>
      <c r="I71" t="n">
        <v>1.3</v>
      </c>
      <c r="J71" t="n">
        <v>0</v>
      </c>
      <c r="K71" t="n">
        <v>0</v>
      </c>
      <c r="L71" t="n">
        <v>0</v>
      </c>
      <c r="M71" t="n">
        <v>0</v>
      </c>
      <c r="N71" t="n">
        <v>0</v>
      </c>
      <c r="O71" t="n">
        <v>0</v>
      </c>
      <c r="P71" t="n">
        <v>0</v>
      </c>
      <c r="Q71" t="n">
        <v>0</v>
      </c>
      <c r="R71" t="n">
        <v>0</v>
      </c>
      <c r="S71" t="n">
        <v>0</v>
      </c>
      <c r="T71" t="n">
        <v>0</v>
      </c>
      <c r="U71" s="2" t="inlineStr"/>
    </row>
    <row r="72" ht="15" customHeight="1">
      <c r="A72" t="inlineStr">
        <is>
          <t>A 34193-2022</t>
        </is>
      </c>
      <c r="B72" t="inlineStr">
        <is>
          <t>avverkningsanmälan</t>
        </is>
      </c>
      <c r="C72" t="inlineStr">
        <is>
          <t>Föryngringsavverkning</t>
        </is>
      </c>
      <c r="D72" s="1" t="n">
        <v>44791</v>
      </c>
      <c r="E72" s="1" t="n">
        <v>46221</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s="2" t="inlineStr"/>
    </row>
    <row r="73" ht="15" customHeight="1">
      <c r="A73" t="inlineStr">
        <is>
          <t>A 40643-2021</t>
        </is>
      </c>
      <c r="B73" t="inlineStr">
        <is>
          <t>avverkningsanmälan</t>
        </is>
      </c>
      <c r="C73" t="inlineStr">
        <is>
          <t>Föryngringsavverkning</t>
        </is>
      </c>
      <c r="D73" s="1" t="n">
        <v>44420</v>
      </c>
      <c r="E73" s="1" t="n">
        <v>46221</v>
      </c>
      <c r="F73" t="inlineStr">
        <is>
          <t>ÖREBRO LÄN</t>
        </is>
      </c>
      <c r="G73" t="inlineStr">
        <is>
          <t>NORA</t>
        </is>
      </c>
      <c r="I73" t="n">
        <v>0.6</v>
      </c>
      <c r="J73" t="n">
        <v>0</v>
      </c>
      <c r="K73" t="n">
        <v>0</v>
      </c>
      <c r="L73" t="n">
        <v>0</v>
      </c>
      <c r="M73" t="n">
        <v>0</v>
      </c>
      <c r="N73" t="n">
        <v>0</v>
      </c>
      <c r="O73" t="n">
        <v>0</v>
      </c>
      <c r="P73" t="n">
        <v>0</v>
      </c>
      <c r="Q73" t="n">
        <v>0</v>
      </c>
      <c r="R73" t="n">
        <v>0</v>
      </c>
      <c r="S73" t="n">
        <v>0</v>
      </c>
      <c r="T73" t="n">
        <v>0</v>
      </c>
      <c r="U73" s="2" t="inlineStr"/>
    </row>
    <row r="74" ht="15" customHeight="1">
      <c r="A74" t="inlineStr">
        <is>
          <t>A 22650-2022</t>
        </is>
      </c>
      <c r="B74" t="inlineStr">
        <is>
          <t>avverkningsanmälan</t>
        </is>
      </c>
      <c r="C74" t="inlineStr">
        <is>
          <t>Föryngringsavverkning</t>
        </is>
      </c>
      <c r="D74" s="1" t="n">
        <v>44714</v>
      </c>
      <c r="E74" s="1" t="n">
        <v>46221</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s="2" t="inlineStr"/>
    </row>
    <row r="75" ht="15" customHeight="1">
      <c r="A75" t="inlineStr">
        <is>
          <t>A 49634-2022</t>
        </is>
      </c>
      <c r="B75" t="inlineStr">
        <is>
          <t>avverkningsanmälan</t>
        </is>
      </c>
      <c r="C75" t="inlineStr">
        <is>
          <t>Föryngringsavverkning</t>
        </is>
      </c>
      <c r="D75" s="1" t="n">
        <v>44862</v>
      </c>
      <c r="E75" s="1" t="n">
        <v>46221</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s="2" t="inlineStr"/>
    </row>
    <row r="76" ht="15" customHeight="1">
      <c r="A76" t="inlineStr">
        <is>
          <t>A 42743-2021</t>
        </is>
      </c>
      <c r="B76" t="inlineStr">
        <is>
          <t>avverkningsanmälan</t>
        </is>
      </c>
      <c r="C76" t="inlineStr">
        <is>
          <t>Föryngringsavverkning</t>
        </is>
      </c>
      <c r="D76" s="1" t="n">
        <v>44428</v>
      </c>
      <c r="E76" s="1" t="n">
        <v>46221</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s="2" t="inlineStr"/>
    </row>
    <row r="77" ht="15" customHeight="1">
      <c r="A77" t="inlineStr">
        <is>
          <t>A 44850-2022</t>
        </is>
      </c>
      <c r="B77" t="inlineStr">
        <is>
          <t>avverkningsanmälan</t>
        </is>
      </c>
      <c r="C77" t="inlineStr">
        <is>
          <t>Föryngringsavverkning</t>
        </is>
      </c>
      <c r="D77" s="1" t="n">
        <v>44841</v>
      </c>
      <c r="E77" s="1" t="n">
        <v>46221</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s="2" t="inlineStr"/>
    </row>
    <row r="78" ht="15" customHeight="1">
      <c r="A78" t="inlineStr">
        <is>
          <t>A 35730-2022</t>
        </is>
      </c>
      <c r="B78" t="inlineStr">
        <is>
          <t>avverkningsanmälan</t>
        </is>
      </c>
      <c r="C78" t="inlineStr">
        <is>
          <t>Avverkning för att bevara och utveckla /försöksver</t>
        </is>
      </c>
      <c r="D78" s="1" t="n">
        <v>44799</v>
      </c>
      <c r="E78" s="1" t="n">
        <v>46221</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s="2" t="inlineStr"/>
    </row>
    <row r="79" ht="15" customHeight="1">
      <c r="A79" t="inlineStr">
        <is>
          <t>A 35731-2022</t>
        </is>
      </c>
      <c r="B79" t="inlineStr">
        <is>
          <t>avverkningsanmälan</t>
        </is>
      </c>
      <c r="C79" t="inlineStr">
        <is>
          <t>Föryngringsavverkning</t>
        </is>
      </c>
      <c r="D79" s="1" t="n">
        <v>44799</v>
      </c>
      <c r="E79" s="1" t="n">
        <v>46221</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s="2" t="inlineStr"/>
    </row>
    <row r="80" ht="15" customHeight="1">
      <c r="A80" t="inlineStr">
        <is>
          <t>A 48105-2021</t>
        </is>
      </c>
      <c r="B80" t="inlineStr">
        <is>
          <t>avverkningsanmälan</t>
        </is>
      </c>
      <c r="C80" t="inlineStr">
        <is>
          <t>Föryngringsavverkning</t>
        </is>
      </c>
      <c r="D80" s="1" t="n">
        <v>44449</v>
      </c>
      <c r="E80" s="1" t="n">
        <v>46221</v>
      </c>
      <c r="F80" t="inlineStr">
        <is>
          <t>ÖREBRO LÄN</t>
        </is>
      </c>
      <c r="G80" t="inlineStr">
        <is>
          <t>NORA</t>
        </is>
      </c>
      <c r="I80" t="n">
        <v>0.6</v>
      </c>
      <c r="J80" t="n">
        <v>0</v>
      </c>
      <c r="K80" t="n">
        <v>0</v>
      </c>
      <c r="L80" t="n">
        <v>0</v>
      </c>
      <c r="M80" t="n">
        <v>0</v>
      </c>
      <c r="N80" t="n">
        <v>0</v>
      </c>
      <c r="O80" t="n">
        <v>0</v>
      </c>
      <c r="P80" t="n">
        <v>0</v>
      </c>
      <c r="Q80" t="n">
        <v>0</v>
      </c>
      <c r="R80" t="n">
        <v>0</v>
      </c>
      <c r="S80" t="n">
        <v>0</v>
      </c>
      <c r="T80" t="n">
        <v>0</v>
      </c>
      <c r="U80" s="2" t="inlineStr"/>
    </row>
    <row r="81" ht="15" customHeight="1">
      <c r="A81" t="inlineStr">
        <is>
          <t>A 59590-2021</t>
        </is>
      </c>
      <c r="B81" t="inlineStr">
        <is>
          <t>avverkningsanmälan</t>
        </is>
      </c>
      <c r="C81" t="inlineStr">
        <is>
          <t>Föryngringsavverkning</t>
        </is>
      </c>
      <c r="D81" s="1" t="n">
        <v>44491</v>
      </c>
      <c r="E81" s="1" t="n">
        <v>46221</v>
      </c>
      <c r="F81" t="inlineStr">
        <is>
          <t>ÖREBRO LÄN</t>
        </is>
      </c>
      <c r="G81" t="inlineStr">
        <is>
          <t>NORA</t>
        </is>
      </c>
      <c r="H81" t="inlineStr">
        <is>
          <t>Kyrkan</t>
        </is>
      </c>
      <c r="I81" t="n">
        <v>2.8</v>
      </c>
      <c r="J81" t="n">
        <v>0</v>
      </c>
      <c r="K81" t="n">
        <v>0</v>
      </c>
      <c r="L81" t="n">
        <v>0</v>
      </c>
      <c r="M81" t="n">
        <v>0</v>
      </c>
      <c r="N81" t="n">
        <v>0</v>
      </c>
      <c r="O81" t="n">
        <v>0</v>
      </c>
      <c r="P81" t="n">
        <v>0</v>
      </c>
      <c r="Q81" t="n">
        <v>0</v>
      </c>
      <c r="R81" t="n">
        <v>0</v>
      </c>
      <c r="S81" t="n">
        <v>0</v>
      </c>
      <c r="T81" t="n">
        <v>0</v>
      </c>
      <c r="U81" s="2" t="inlineStr"/>
    </row>
    <row r="82" ht="15" customHeight="1">
      <c r="A82" t="inlineStr">
        <is>
          <t>A 68887-2021</t>
        </is>
      </c>
      <c r="B82" t="inlineStr">
        <is>
          <t>avverkningsanmälan</t>
        </is>
      </c>
      <c r="C82" t="inlineStr">
        <is>
          <t>Föryngringsavverkning</t>
        </is>
      </c>
      <c r="D82" s="1" t="n">
        <v>44530</v>
      </c>
      <c r="E82" s="1" t="n">
        <v>46221</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s="2" t="inlineStr"/>
    </row>
    <row r="83" ht="15" customHeight="1">
      <c r="A83" t="inlineStr">
        <is>
          <t>A 47788-2021</t>
        </is>
      </c>
      <c r="B83" t="inlineStr">
        <is>
          <t>avverkningsanmälan</t>
        </is>
      </c>
      <c r="C83" t="inlineStr">
        <is>
          <t>Föryngringsavverkning</t>
        </is>
      </c>
      <c r="D83" s="1" t="n">
        <v>44448</v>
      </c>
      <c r="E83" s="1" t="n">
        <v>46221</v>
      </c>
      <c r="F83" t="inlineStr">
        <is>
          <t>ÖREBRO LÄN</t>
        </is>
      </c>
      <c r="G83" t="inlineStr">
        <is>
          <t>NORA</t>
        </is>
      </c>
      <c r="I83" t="n">
        <v>1.6</v>
      </c>
      <c r="J83" t="n">
        <v>0</v>
      </c>
      <c r="K83" t="n">
        <v>0</v>
      </c>
      <c r="L83" t="n">
        <v>0</v>
      </c>
      <c r="M83" t="n">
        <v>0</v>
      </c>
      <c r="N83" t="n">
        <v>0</v>
      </c>
      <c r="O83" t="n">
        <v>0</v>
      </c>
      <c r="P83" t="n">
        <v>0</v>
      </c>
      <c r="Q83" t="n">
        <v>0</v>
      </c>
      <c r="R83" t="n">
        <v>0</v>
      </c>
      <c r="S83" t="n">
        <v>0</v>
      </c>
      <c r="T83" t="n">
        <v>0</v>
      </c>
      <c r="U83" s="2" t="inlineStr"/>
    </row>
    <row r="84" ht="15" customHeight="1">
      <c r="A84" t="inlineStr">
        <is>
          <t>A 26314-2022</t>
        </is>
      </c>
      <c r="B84" t="inlineStr">
        <is>
          <t>avverkningsanmälan</t>
        </is>
      </c>
      <c r="C84" t="inlineStr">
        <is>
          <t>Föryngringsavverkning</t>
        </is>
      </c>
      <c r="D84" s="1" t="n">
        <v>44735</v>
      </c>
      <c r="E84" s="1" t="n">
        <v>46221</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s="2" t="inlineStr"/>
    </row>
    <row r="85" ht="15" customHeight="1">
      <c r="A85" t="inlineStr">
        <is>
          <t>A 49135-2021</t>
        </is>
      </c>
      <c r="B85" t="inlineStr">
        <is>
          <t>avverkningsanmälan</t>
        </is>
      </c>
      <c r="C85" t="inlineStr">
        <is>
          <t>Föryngringsavverkning</t>
        </is>
      </c>
      <c r="D85" s="1" t="n">
        <v>44453</v>
      </c>
      <c r="E85" s="1" t="n">
        <v>46221</v>
      </c>
      <c r="F85" t="inlineStr">
        <is>
          <t>ÖREBRO LÄN</t>
        </is>
      </c>
      <c r="G85" t="inlineStr">
        <is>
          <t>NORA</t>
        </is>
      </c>
      <c r="I85" t="n">
        <v>1.9</v>
      </c>
      <c r="J85" t="n">
        <v>0</v>
      </c>
      <c r="K85" t="n">
        <v>0</v>
      </c>
      <c r="L85" t="n">
        <v>0</v>
      </c>
      <c r="M85" t="n">
        <v>0</v>
      </c>
      <c r="N85" t="n">
        <v>0</v>
      </c>
      <c r="O85" t="n">
        <v>0</v>
      </c>
      <c r="P85" t="n">
        <v>0</v>
      </c>
      <c r="Q85" t="n">
        <v>0</v>
      </c>
      <c r="R85" t="n">
        <v>0</v>
      </c>
      <c r="S85" t="n">
        <v>0</v>
      </c>
      <c r="T85" t="n">
        <v>0</v>
      </c>
      <c r="U85" s="2" t="inlineStr"/>
    </row>
    <row r="86" ht="15" customHeight="1">
      <c r="A86" t="inlineStr">
        <is>
          <t>A 34026-2022</t>
        </is>
      </c>
      <c r="B86" t="inlineStr">
        <is>
          <t>avverkningsanmälan</t>
        </is>
      </c>
      <c r="C86" t="inlineStr">
        <is>
          <t>Föryngringsavverkning</t>
        </is>
      </c>
      <c r="D86" s="1" t="n">
        <v>44791</v>
      </c>
      <c r="E86" s="1" t="n">
        <v>46221</v>
      </c>
      <c r="F86" t="inlineStr">
        <is>
          <t>ÖREBRO LÄN</t>
        </is>
      </c>
      <c r="G86" t="inlineStr">
        <is>
          <t>NORA</t>
        </is>
      </c>
      <c r="I86" t="n">
        <v>0.8</v>
      </c>
      <c r="J86" t="n">
        <v>0</v>
      </c>
      <c r="K86" t="n">
        <v>0</v>
      </c>
      <c r="L86" t="n">
        <v>0</v>
      </c>
      <c r="M86" t="n">
        <v>0</v>
      </c>
      <c r="N86" t="n">
        <v>0</v>
      </c>
      <c r="O86" t="n">
        <v>0</v>
      </c>
      <c r="P86" t="n">
        <v>0</v>
      </c>
      <c r="Q86" t="n">
        <v>0</v>
      </c>
      <c r="R86" t="n">
        <v>0</v>
      </c>
      <c r="S86" t="n">
        <v>0</v>
      </c>
      <c r="T86" t="n">
        <v>0</v>
      </c>
      <c r="U86" s="2" t="inlineStr"/>
    </row>
    <row r="87" ht="15" customHeight="1">
      <c r="A87" t="inlineStr">
        <is>
          <t>A 46198-2023</t>
        </is>
      </c>
      <c r="B87" t="inlineStr">
        <is>
          <t>avverkningsanmälan</t>
        </is>
      </c>
      <c r="C87" t="inlineStr">
        <is>
          <t>Föryngringsavverkning</t>
        </is>
      </c>
      <c r="D87" s="1" t="n">
        <v>45196</v>
      </c>
      <c r="E87" s="1" t="n">
        <v>46221</v>
      </c>
      <c r="F87" t="inlineStr">
        <is>
          <t>ÖREBRO LÄN</t>
        </is>
      </c>
      <c r="G87" t="inlineStr">
        <is>
          <t>NORA</t>
        </is>
      </c>
      <c r="I87" t="n">
        <v>8.800000000000001</v>
      </c>
      <c r="J87" t="n">
        <v>0</v>
      </c>
      <c r="K87" t="n">
        <v>0</v>
      </c>
      <c r="L87" t="n">
        <v>0</v>
      </c>
      <c r="M87" t="n">
        <v>0</v>
      </c>
      <c r="N87" t="n">
        <v>0</v>
      </c>
      <c r="O87" t="n">
        <v>0</v>
      </c>
      <c r="P87" t="n">
        <v>0</v>
      </c>
      <c r="Q87" t="n">
        <v>0</v>
      </c>
      <c r="R87" t="n">
        <v>0</v>
      </c>
      <c r="S87" t="n">
        <v>0</v>
      </c>
      <c r="T87" t="n">
        <v>0</v>
      </c>
      <c r="U87" s="2" t="inlineStr"/>
    </row>
    <row r="88" ht="15" customHeight="1">
      <c r="A88" t="inlineStr">
        <is>
          <t>A 43254-2022</t>
        </is>
      </c>
      <c r="B88" t="inlineStr">
        <is>
          <t>avverkningsanmälan</t>
        </is>
      </c>
      <c r="C88" t="inlineStr">
        <is>
          <t>Föryngringsavverkning</t>
        </is>
      </c>
      <c r="D88" s="1" t="n">
        <v>44834</v>
      </c>
      <c r="E88" s="1" t="n">
        <v>46221</v>
      </c>
      <c r="F88" t="inlineStr">
        <is>
          <t>ÖREBRO LÄN</t>
        </is>
      </c>
      <c r="G88" t="inlineStr">
        <is>
          <t>NORA</t>
        </is>
      </c>
      <c r="I88" t="n">
        <v>0.5</v>
      </c>
      <c r="J88" t="n">
        <v>0</v>
      </c>
      <c r="K88" t="n">
        <v>0</v>
      </c>
      <c r="L88" t="n">
        <v>0</v>
      </c>
      <c r="M88" t="n">
        <v>0</v>
      </c>
      <c r="N88" t="n">
        <v>0</v>
      </c>
      <c r="O88" t="n">
        <v>0</v>
      </c>
      <c r="P88" t="n">
        <v>0</v>
      </c>
      <c r="Q88" t="n">
        <v>0</v>
      </c>
      <c r="R88" t="n">
        <v>0</v>
      </c>
      <c r="S88" t="n">
        <v>0</v>
      </c>
      <c r="T88" t="n">
        <v>0</v>
      </c>
      <c r="U88" s="2" t="inlineStr"/>
    </row>
    <row r="89" ht="15" customHeight="1">
      <c r="A89" t="inlineStr">
        <is>
          <t>A 13585-2024</t>
        </is>
      </c>
      <c r="B89" t="inlineStr">
        <is>
          <t>avverkningsanmälan</t>
        </is>
      </c>
      <c r="C89" t="inlineStr">
        <is>
          <t>Avverkning för att bevara och utveckla /försöksver</t>
        </is>
      </c>
      <c r="D89" s="1" t="n">
        <v>45389</v>
      </c>
      <c r="E89" s="1" t="n">
        <v>46221</v>
      </c>
      <c r="F89" t="inlineStr">
        <is>
          <t>ÖREBRO LÄN</t>
        </is>
      </c>
      <c r="G89" t="inlineStr">
        <is>
          <t>NORA</t>
        </is>
      </c>
      <c r="I89" t="n">
        <v>0.6</v>
      </c>
      <c r="J89" t="n">
        <v>0</v>
      </c>
      <c r="K89" t="n">
        <v>0</v>
      </c>
      <c r="L89" t="n">
        <v>0</v>
      </c>
      <c r="M89" t="n">
        <v>0</v>
      </c>
      <c r="N89" t="n">
        <v>0</v>
      </c>
      <c r="O89" t="n">
        <v>0</v>
      </c>
      <c r="P89" t="n">
        <v>0</v>
      </c>
      <c r="Q89" t="n">
        <v>0</v>
      </c>
      <c r="R89" t="n">
        <v>0</v>
      </c>
      <c r="S89" t="n">
        <v>0</v>
      </c>
      <c r="T89" t="n">
        <v>0</v>
      </c>
      <c r="U89" s="2" t="inlineStr"/>
    </row>
    <row r="90" ht="15" customHeight="1">
      <c r="A90" t="inlineStr">
        <is>
          <t>A 16109-2024</t>
        </is>
      </c>
      <c r="B90" t="inlineStr">
        <is>
          <t>avverkningsanmälan</t>
        </is>
      </c>
      <c r="C90" t="inlineStr">
        <is>
          <t>Föryngringsavverkning</t>
        </is>
      </c>
      <c r="D90" s="1" t="n">
        <v>45406</v>
      </c>
      <c r="E90" s="1" t="n">
        <v>46221</v>
      </c>
      <c r="F90" t="inlineStr">
        <is>
          <t>ÖREBRO LÄN</t>
        </is>
      </c>
      <c r="G90" t="inlineStr">
        <is>
          <t>NORA</t>
        </is>
      </c>
      <c r="I90" t="n">
        <v>0.5</v>
      </c>
      <c r="J90" t="n">
        <v>0</v>
      </c>
      <c r="K90" t="n">
        <v>0</v>
      </c>
      <c r="L90" t="n">
        <v>0</v>
      </c>
      <c r="M90" t="n">
        <v>0</v>
      </c>
      <c r="N90" t="n">
        <v>0</v>
      </c>
      <c r="O90" t="n">
        <v>0</v>
      </c>
      <c r="P90" t="n">
        <v>0</v>
      </c>
      <c r="Q90" t="n">
        <v>0</v>
      </c>
      <c r="R90" t="n">
        <v>0</v>
      </c>
      <c r="S90" t="n">
        <v>0</v>
      </c>
      <c r="T90" t="n">
        <v>0</v>
      </c>
      <c r="U90" s="2" t="inlineStr"/>
    </row>
    <row r="91" ht="15" customHeight="1">
      <c r="A91" t="inlineStr">
        <is>
          <t>A 26021-2023</t>
        </is>
      </c>
      <c r="B91" t="inlineStr">
        <is>
          <t>avverkningsanmälan</t>
        </is>
      </c>
      <c r="C91" t="inlineStr">
        <is>
          <t>Föryngringsavverkning</t>
        </is>
      </c>
      <c r="D91" s="1" t="n">
        <v>45091</v>
      </c>
      <c r="E91" s="1" t="n">
        <v>46221</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s="2" t="inlineStr"/>
    </row>
    <row r="92" ht="15" customHeight="1">
      <c r="A92" t="inlineStr">
        <is>
          <t>A 53472-2022</t>
        </is>
      </c>
      <c r="B92" t="inlineStr">
        <is>
          <t>avverkningsanmälan</t>
        </is>
      </c>
      <c r="C92" t="inlineStr">
        <is>
          <t>Avverkning för annat ändamål</t>
        </is>
      </c>
      <c r="D92" s="1" t="n">
        <v>44879</v>
      </c>
      <c r="E92" s="1" t="n">
        <v>46221</v>
      </c>
      <c r="F92" t="inlineStr">
        <is>
          <t>ÖREBRO LÄN</t>
        </is>
      </c>
      <c r="G92" t="inlineStr">
        <is>
          <t>NORA</t>
        </is>
      </c>
      <c r="I92" t="n">
        <v>1</v>
      </c>
      <c r="J92" t="n">
        <v>0</v>
      </c>
      <c r="K92" t="n">
        <v>0</v>
      </c>
      <c r="L92" t="n">
        <v>0</v>
      </c>
      <c r="M92" t="n">
        <v>0</v>
      </c>
      <c r="N92" t="n">
        <v>0</v>
      </c>
      <c r="O92" t="n">
        <v>0</v>
      </c>
      <c r="P92" t="n">
        <v>0</v>
      </c>
      <c r="Q92" t="n">
        <v>0</v>
      </c>
      <c r="R92" t="n">
        <v>0</v>
      </c>
      <c r="S92" t="n">
        <v>0</v>
      </c>
      <c r="T92" t="n">
        <v>0</v>
      </c>
      <c r="U92" s="2" t="inlineStr"/>
    </row>
    <row r="93" ht="15" customHeight="1">
      <c r="A93" t="inlineStr">
        <is>
          <t>A 56871-2021</t>
        </is>
      </c>
      <c r="B93" t="inlineStr">
        <is>
          <t>avverkningsanmälan</t>
        </is>
      </c>
      <c r="C93" t="inlineStr">
        <is>
          <t>Föryngringsavverkning</t>
        </is>
      </c>
      <c r="D93" s="1" t="n">
        <v>44481</v>
      </c>
      <c r="E93" s="1" t="n">
        <v>46221</v>
      </c>
      <c r="F93" t="inlineStr">
        <is>
          <t>ÖREBRO LÄN</t>
        </is>
      </c>
      <c r="G93" t="inlineStr">
        <is>
          <t>NORA</t>
        </is>
      </c>
      <c r="I93" t="n">
        <v>2.6</v>
      </c>
      <c r="J93" t="n">
        <v>0</v>
      </c>
      <c r="K93" t="n">
        <v>0</v>
      </c>
      <c r="L93" t="n">
        <v>0</v>
      </c>
      <c r="M93" t="n">
        <v>0</v>
      </c>
      <c r="N93" t="n">
        <v>0</v>
      </c>
      <c r="O93" t="n">
        <v>0</v>
      </c>
      <c r="P93" t="n">
        <v>0</v>
      </c>
      <c r="Q93" t="n">
        <v>0</v>
      </c>
      <c r="R93" t="n">
        <v>0</v>
      </c>
      <c r="S93" t="n">
        <v>0</v>
      </c>
      <c r="T93" t="n">
        <v>0</v>
      </c>
      <c r="U93" s="2" t="inlineStr"/>
    </row>
    <row r="94" ht="15" customHeight="1">
      <c r="A94" t="inlineStr">
        <is>
          <t>A 4910-2023</t>
        </is>
      </c>
      <c r="B94" t="inlineStr">
        <is>
          <t>avverkningsanmälan</t>
        </is>
      </c>
      <c r="C94" t="inlineStr">
        <is>
          <t>Föryngringsavverkning</t>
        </is>
      </c>
      <c r="D94" s="1" t="n">
        <v>44958</v>
      </c>
      <c r="E94" s="1" t="n">
        <v>46221</v>
      </c>
      <c r="F94" t="inlineStr">
        <is>
          <t>ÖREBRO LÄN</t>
        </is>
      </c>
      <c r="G94" t="inlineStr">
        <is>
          <t>NORA</t>
        </is>
      </c>
      <c r="I94" t="n">
        <v>4.7</v>
      </c>
      <c r="J94" t="n">
        <v>0</v>
      </c>
      <c r="K94" t="n">
        <v>0</v>
      </c>
      <c r="L94" t="n">
        <v>0</v>
      </c>
      <c r="M94" t="n">
        <v>0</v>
      </c>
      <c r="N94" t="n">
        <v>0</v>
      </c>
      <c r="O94" t="n">
        <v>0</v>
      </c>
      <c r="P94" t="n">
        <v>0</v>
      </c>
      <c r="Q94" t="n">
        <v>0</v>
      </c>
      <c r="R94" t="n">
        <v>0</v>
      </c>
      <c r="S94" t="n">
        <v>0</v>
      </c>
      <c r="T94" t="n">
        <v>0</v>
      </c>
      <c r="U94" s="2" t="inlineStr"/>
    </row>
    <row r="95" ht="15" customHeight="1">
      <c r="A95" t="inlineStr">
        <is>
          <t>A 38798-2021</t>
        </is>
      </c>
      <c r="B95" t="inlineStr">
        <is>
          <t>avverkningsanmälan</t>
        </is>
      </c>
      <c r="C95" t="inlineStr">
        <is>
          <t>Föryngringsavverkning</t>
        </is>
      </c>
      <c r="D95" s="1" t="n">
        <v>44410</v>
      </c>
      <c r="E95" s="1" t="n">
        <v>46221</v>
      </c>
      <c r="F95" t="inlineStr">
        <is>
          <t>ÖREBRO LÄN</t>
        </is>
      </c>
      <c r="G95" t="inlineStr">
        <is>
          <t>NORA</t>
        </is>
      </c>
      <c r="I95" t="n">
        <v>3.6</v>
      </c>
      <c r="J95" t="n">
        <v>0</v>
      </c>
      <c r="K95" t="n">
        <v>0</v>
      </c>
      <c r="L95" t="n">
        <v>0</v>
      </c>
      <c r="M95" t="n">
        <v>0</v>
      </c>
      <c r="N95" t="n">
        <v>0</v>
      </c>
      <c r="O95" t="n">
        <v>0</v>
      </c>
      <c r="P95" t="n">
        <v>0</v>
      </c>
      <c r="Q95" t="n">
        <v>0</v>
      </c>
      <c r="R95" t="n">
        <v>0</v>
      </c>
      <c r="S95" t="n">
        <v>0</v>
      </c>
      <c r="T95" t="n">
        <v>0</v>
      </c>
      <c r="U95" s="2" t="inlineStr"/>
    </row>
    <row r="96" ht="15" customHeight="1">
      <c r="A96" t="inlineStr">
        <is>
          <t>A 64089-2023</t>
        </is>
      </c>
      <c r="B96" t="inlineStr">
        <is>
          <t>avverkningsanmälan</t>
        </is>
      </c>
      <c r="C96" t="inlineStr">
        <is>
          <t>Föryngringsavverkning</t>
        </is>
      </c>
      <c r="D96" s="1" t="n">
        <v>45279</v>
      </c>
      <c r="E96" s="1" t="n">
        <v>46221</v>
      </c>
      <c r="F96" t="inlineStr">
        <is>
          <t>ÖREBRO LÄN</t>
        </is>
      </c>
      <c r="G96" t="inlineStr">
        <is>
          <t>NORA</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59637-2021</t>
        </is>
      </c>
      <c r="B97" t="inlineStr">
        <is>
          <t>avverkningsanmälan</t>
        </is>
      </c>
      <c r="C97" t="inlineStr">
        <is>
          <t>Föryngringsavverkning</t>
        </is>
      </c>
      <c r="D97" s="1" t="n">
        <v>44493</v>
      </c>
      <c r="E97" s="1" t="n">
        <v>46221</v>
      </c>
      <c r="F97" t="inlineStr">
        <is>
          <t>ÖREBRO LÄN</t>
        </is>
      </c>
      <c r="G97" t="inlineStr">
        <is>
          <t>NORA</t>
        </is>
      </c>
      <c r="I97" t="n">
        <v>1.2</v>
      </c>
      <c r="J97" t="n">
        <v>0</v>
      </c>
      <c r="K97" t="n">
        <v>0</v>
      </c>
      <c r="L97" t="n">
        <v>0</v>
      </c>
      <c r="M97" t="n">
        <v>0</v>
      </c>
      <c r="N97" t="n">
        <v>0</v>
      </c>
      <c r="O97" t="n">
        <v>0</v>
      </c>
      <c r="P97" t="n">
        <v>0</v>
      </c>
      <c r="Q97" t="n">
        <v>0</v>
      </c>
      <c r="R97" t="n">
        <v>0</v>
      </c>
      <c r="S97" t="n">
        <v>0</v>
      </c>
      <c r="T97" t="n">
        <v>0</v>
      </c>
      <c r="U97" s="2" t="inlineStr"/>
    </row>
    <row r="98" ht="15" customHeight="1">
      <c r="A98" t="inlineStr">
        <is>
          <t>A 70200-2021</t>
        </is>
      </c>
      <c r="B98" t="inlineStr">
        <is>
          <t>avverkningsanmälan</t>
        </is>
      </c>
      <c r="C98" t="inlineStr">
        <is>
          <t>Föryngringsavverkning</t>
        </is>
      </c>
      <c r="D98" s="1" t="n">
        <v>44534</v>
      </c>
      <c r="E98" s="1" t="n">
        <v>46221</v>
      </c>
      <c r="F98" t="inlineStr">
        <is>
          <t>ÖREBRO LÄN</t>
        </is>
      </c>
      <c r="G98" t="inlineStr">
        <is>
          <t>NORA</t>
        </is>
      </c>
      <c r="I98" t="n">
        <v>0.9</v>
      </c>
      <c r="J98" t="n">
        <v>0</v>
      </c>
      <c r="K98" t="n">
        <v>0</v>
      </c>
      <c r="L98" t="n">
        <v>0</v>
      </c>
      <c r="M98" t="n">
        <v>0</v>
      </c>
      <c r="N98" t="n">
        <v>0</v>
      </c>
      <c r="O98" t="n">
        <v>0</v>
      </c>
      <c r="P98" t="n">
        <v>0</v>
      </c>
      <c r="Q98" t="n">
        <v>0</v>
      </c>
      <c r="R98" t="n">
        <v>0</v>
      </c>
      <c r="S98" t="n">
        <v>0</v>
      </c>
      <c r="T98" t="n">
        <v>0</v>
      </c>
      <c r="U98" s="2" t="inlineStr"/>
    </row>
    <row r="99" ht="15" customHeight="1">
      <c r="A99" t="inlineStr">
        <is>
          <t>A 56136-2022</t>
        </is>
      </c>
      <c r="B99" t="inlineStr">
        <is>
          <t>avverkningsanmälan</t>
        </is>
      </c>
      <c r="C99" t="inlineStr">
        <is>
          <t>Föryngringsavverkning</t>
        </is>
      </c>
      <c r="D99" s="1" t="n">
        <v>44889</v>
      </c>
      <c r="E99" s="1" t="n">
        <v>46221</v>
      </c>
      <c r="F99" t="inlineStr">
        <is>
          <t>ÖREBRO LÄN</t>
        </is>
      </c>
      <c r="G99" t="inlineStr">
        <is>
          <t>NORA</t>
        </is>
      </c>
      <c r="I99" t="n">
        <v>5.9</v>
      </c>
      <c r="J99" t="n">
        <v>0</v>
      </c>
      <c r="K99" t="n">
        <v>0</v>
      </c>
      <c r="L99" t="n">
        <v>0</v>
      </c>
      <c r="M99" t="n">
        <v>0</v>
      </c>
      <c r="N99" t="n">
        <v>0</v>
      </c>
      <c r="O99" t="n">
        <v>0</v>
      </c>
      <c r="P99" t="n">
        <v>0</v>
      </c>
      <c r="Q99" t="n">
        <v>0</v>
      </c>
      <c r="R99" t="n">
        <v>0</v>
      </c>
      <c r="S99" t="n">
        <v>0</v>
      </c>
      <c r="T99" t="n">
        <v>0</v>
      </c>
      <c r="U99" s="2" t="inlineStr"/>
    </row>
    <row r="100" ht="15" customHeight="1">
      <c r="A100" t="inlineStr">
        <is>
          <t>A 41676-2021</t>
        </is>
      </c>
      <c r="B100" t="inlineStr">
        <is>
          <t>avverkningsanmälan</t>
        </is>
      </c>
      <c r="C100" t="inlineStr">
        <is>
          <t>Föryngringsavverkning</t>
        </is>
      </c>
      <c r="D100" s="1" t="n">
        <v>44425</v>
      </c>
      <c r="E100" s="1" t="n">
        <v>46221</v>
      </c>
      <c r="F100" t="inlineStr">
        <is>
          <t>ÖREBRO LÄN</t>
        </is>
      </c>
      <c r="G100" t="inlineStr">
        <is>
          <t>NORA</t>
        </is>
      </c>
      <c r="I100" t="n">
        <v>3</v>
      </c>
      <c r="J100" t="n">
        <v>0</v>
      </c>
      <c r="K100" t="n">
        <v>0</v>
      </c>
      <c r="L100" t="n">
        <v>0</v>
      </c>
      <c r="M100" t="n">
        <v>0</v>
      </c>
      <c r="N100" t="n">
        <v>0</v>
      </c>
      <c r="O100" t="n">
        <v>0</v>
      </c>
      <c r="P100" t="n">
        <v>0</v>
      </c>
      <c r="Q100" t="n">
        <v>0</v>
      </c>
      <c r="R100" t="n">
        <v>0</v>
      </c>
      <c r="S100" t="n">
        <v>0</v>
      </c>
      <c r="T100" t="n">
        <v>0</v>
      </c>
      <c r="U100" s="2" t="inlineStr"/>
    </row>
    <row r="101" ht="15" customHeight="1">
      <c r="A101" t="inlineStr">
        <is>
          <t>A 24389-2024</t>
        </is>
      </c>
      <c r="B101" t="inlineStr">
        <is>
          <t>avverkningsanmälan</t>
        </is>
      </c>
      <c r="C101" t="inlineStr">
        <is>
          <t>Föryngringsavverkning</t>
        </is>
      </c>
      <c r="D101" s="1" t="n">
        <v>45457</v>
      </c>
      <c r="E101" s="1" t="n">
        <v>46221</v>
      </c>
      <c r="F101" t="inlineStr">
        <is>
          <t>ÖREBRO LÄN</t>
        </is>
      </c>
      <c r="G101" t="inlineStr">
        <is>
          <t>NORA</t>
        </is>
      </c>
      <c r="I101" t="n">
        <v>4.8</v>
      </c>
      <c r="J101" t="n">
        <v>0</v>
      </c>
      <c r="K101" t="n">
        <v>0</v>
      </c>
      <c r="L101" t="n">
        <v>0</v>
      </c>
      <c r="M101" t="n">
        <v>0</v>
      </c>
      <c r="N101" t="n">
        <v>0</v>
      </c>
      <c r="O101" t="n">
        <v>0</v>
      </c>
      <c r="P101" t="n">
        <v>0</v>
      </c>
      <c r="Q101" t="n">
        <v>0</v>
      </c>
      <c r="R101" t="n">
        <v>0</v>
      </c>
      <c r="S101" t="n">
        <v>0</v>
      </c>
      <c r="T101" t="n">
        <v>0</v>
      </c>
      <c r="U101" s="2" t="inlineStr"/>
    </row>
    <row r="102" ht="15" customHeight="1">
      <c r="A102" t="inlineStr">
        <is>
          <t>A 52303-2024</t>
        </is>
      </c>
      <c r="B102" t="inlineStr">
        <is>
          <t>avverkningsanmälan</t>
        </is>
      </c>
      <c r="C102" t="inlineStr">
        <is>
          <t>Föryngringsavverkning</t>
        </is>
      </c>
      <c r="D102" s="1" t="n">
        <v>45608</v>
      </c>
      <c r="E102" s="1" t="n">
        <v>46221</v>
      </c>
      <c r="F102" t="inlineStr">
        <is>
          <t>ÖREBRO LÄN</t>
        </is>
      </c>
      <c r="G102" t="inlineStr">
        <is>
          <t>NORA</t>
        </is>
      </c>
      <c r="I102" t="n">
        <v>5.3</v>
      </c>
      <c r="J102" t="n">
        <v>0</v>
      </c>
      <c r="K102" t="n">
        <v>0</v>
      </c>
      <c r="L102" t="n">
        <v>0</v>
      </c>
      <c r="M102" t="n">
        <v>0</v>
      </c>
      <c r="N102" t="n">
        <v>0</v>
      </c>
      <c r="O102" t="n">
        <v>0</v>
      </c>
      <c r="P102" t="n">
        <v>0</v>
      </c>
      <c r="Q102" t="n">
        <v>0</v>
      </c>
      <c r="R102" t="n">
        <v>0</v>
      </c>
      <c r="S102" t="n">
        <v>0</v>
      </c>
      <c r="T102" t="n">
        <v>0</v>
      </c>
      <c r="U102" s="2" t="inlineStr"/>
    </row>
    <row r="103" ht="15" customHeight="1">
      <c r="A103" t="inlineStr">
        <is>
          <t>A 3686-2026</t>
        </is>
      </c>
      <c r="B103" t="inlineStr">
        <is>
          <t>avverkningsanmälan</t>
        </is>
      </c>
      <c r="C103" t="inlineStr">
        <is>
          <t>Föryngringsavverkning</t>
        </is>
      </c>
      <c r="D103" s="1" t="n">
        <v>46043</v>
      </c>
      <c r="E103" s="1" t="n">
        <v>46221</v>
      </c>
      <c r="F103" t="inlineStr">
        <is>
          <t>ÖREBRO LÄN</t>
        </is>
      </c>
      <c r="G103" t="inlineStr">
        <is>
          <t>NORA</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23277-2024</t>
        </is>
      </c>
      <c r="B104" t="inlineStr">
        <is>
          <t>avverkningsanmälan</t>
        </is>
      </c>
      <c r="C104" t="inlineStr">
        <is>
          <t>Föryngringsavverkning</t>
        </is>
      </c>
      <c r="D104" s="1" t="n">
        <v>45453</v>
      </c>
      <c r="E104" s="1" t="n">
        <v>46221</v>
      </c>
      <c r="F104" t="inlineStr">
        <is>
          <t>ÖREBRO LÄN</t>
        </is>
      </c>
      <c r="G104" t="inlineStr">
        <is>
          <t>NORA</t>
        </is>
      </c>
      <c r="I104" t="n">
        <v>5.6</v>
      </c>
      <c r="J104" t="n">
        <v>0</v>
      </c>
      <c r="K104" t="n">
        <v>0</v>
      </c>
      <c r="L104" t="n">
        <v>0</v>
      </c>
      <c r="M104" t="n">
        <v>0</v>
      </c>
      <c r="N104" t="n">
        <v>0</v>
      </c>
      <c r="O104" t="n">
        <v>0</v>
      </c>
      <c r="P104" t="n">
        <v>0</v>
      </c>
      <c r="Q104" t="n">
        <v>0</v>
      </c>
      <c r="R104" t="n">
        <v>0</v>
      </c>
      <c r="S104" t="n">
        <v>0</v>
      </c>
      <c r="T104" t="n">
        <v>0</v>
      </c>
      <c r="U104" s="2" t="inlineStr"/>
    </row>
    <row r="105" ht="15" customHeight="1">
      <c r="A105" t="inlineStr">
        <is>
          <t>A 16557-2024</t>
        </is>
      </c>
      <c r="B105" t="inlineStr">
        <is>
          <t>avverkningsanmälan</t>
        </is>
      </c>
      <c r="C105" t="inlineStr">
        <is>
          <t>Föryngringsavverkning</t>
        </is>
      </c>
      <c r="D105" s="1" t="n">
        <v>45408</v>
      </c>
      <c r="E105" s="1" t="n">
        <v>46221</v>
      </c>
      <c r="F105" t="inlineStr">
        <is>
          <t>ÖREBRO LÄN</t>
        </is>
      </c>
      <c r="G105" t="inlineStr">
        <is>
          <t>NORA</t>
        </is>
      </c>
      <c r="H105" t="inlineStr">
        <is>
          <t>Sveaskog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53938-2023</t>
        </is>
      </c>
      <c r="B106" t="inlineStr">
        <is>
          <t>avverkningsanmälan</t>
        </is>
      </c>
      <c r="C106" t="inlineStr">
        <is>
          <t>Föryngringsavverkning</t>
        </is>
      </c>
      <c r="D106" s="1" t="n">
        <v>45231</v>
      </c>
      <c r="E106" s="1" t="n">
        <v>46221</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s="2" t="inlineStr"/>
    </row>
    <row r="107" ht="15" customHeight="1">
      <c r="A107" t="inlineStr">
        <is>
          <t>A 49632-2022</t>
        </is>
      </c>
      <c r="B107" t="inlineStr">
        <is>
          <t>avverkningsanmälan</t>
        </is>
      </c>
      <c r="C107" t="inlineStr">
        <is>
          <t>Föryngringsavverkning</t>
        </is>
      </c>
      <c r="D107" s="1" t="n">
        <v>44862</v>
      </c>
      <c r="E107" s="1" t="n">
        <v>46221</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5217-2022</t>
        </is>
      </c>
      <c r="B108" t="inlineStr">
        <is>
          <t>avverkningsanmälan</t>
        </is>
      </c>
      <c r="C108" t="inlineStr">
        <is>
          <t>Avverkning för annat ändamål</t>
        </is>
      </c>
      <c r="D108" s="1" t="n">
        <v>44593</v>
      </c>
      <c r="E108" s="1" t="n">
        <v>46221</v>
      </c>
      <c r="F108" t="inlineStr">
        <is>
          <t>ÖREBRO LÄN</t>
        </is>
      </c>
      <c r="G108" t="inlineStr">
        <is>
          <t>NORA</t>
        </is>
      </c>
      <c r="H108" t="inlineStr">
        <is>
          <t>Övriga Aktiebolag</t>
        </is>
      </c>
      <c r="I108" t="n">
        <v>38.4</v>
      </c>
      <c r="J108" t="n">
        <v>0</v>
      </c>
      <c r="K108" t="n">
        <v>0</v>
      </c>
      <c r="L108" t="n">
        <v>0</v>
      </c>
      <c r="M108" t="n">
        <v>0</v>
      </c>
      <c r="N108" t="n">
        <v>0</v>
      </c>
      <c r="O108" t="n">
        <v>0</v>
      </c>
      <c r="P108" t="n">
        <v>0</v>
      </c>
      <c r="Q108" t="n">
        <v>0</v>
      </c>
      <c r="R108" t="n">
        <v>0</v>
      </c>
      <c r="S108" t="n">
        <v>0</v>
      </c>
      <c r="T108" t="n">
        <v>0</v>
      </c>
      <c r="U108" s="2" t="inlineStr"/>
    </row>
    <row r="109" ht="15" customHeight="1">
      <c r="A109" t="inlineStr">
        <is>
          <t>A 4723-2023</t>
        </is>
      </c>
      <c r="B109" t="inlineStr">
        <is>
          <t>avverkningsanmälan</t>
        </is>
      </c>
      <c r="C109" t="inlineStr">
        <is>
          <t>Föryngringsavverkning</t>
        </is>
      </c>
      <c r="D109" s="1" t="n">
        <v>44957</v>
      </c>
      <c r="E109" s="1" t="n">
        <v>46221</v>
      </c>
      <c r="F109" t="inlineStr">
        <is>
          <t>ÖREBRO LÄN</t>
        </is>
      </c>
      <c r="G109" t="inlineStr">
        <is>
          <t>NORA</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35144-2023</t>
        </is>
      </c>
      <c r="B110" t="inlineStr">
        <is>
          <t>avverkningsanmälan</t>
        </is>
      </c>
      <c r="C110" t="inlineStr">
        <is>
          <t>Föryngringsavverkning</t>
        </is>
      </c>
      <c r="D110" s="1" t="n">
        <v>45145</v>
      </c>
      <c r="E110" s="1" t="n">
        <v>46221</v>
      </c>
      <c r="F110" t="inlineStr">
        <is>
          <t>ÖREBRO LÄN</t>
        </is>
      </c>
      <c r="G110" t="inlineStr">
        <is>
          <t>NORA</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5049-2022</t>
        </is>
      </c>
      <c r="B111" t="inlineStr">
        <is>
          <t>avverkningsanmälan</t>
        </is>
      </c>
      <c r="C111" t="inlineStr">
        <is>
          <t>Föryngringsavverkning</t>
        </is>
      </c>
      <c r="D111" s="1" t="n">
        <v>44593</v>
      </c>
      <c r="E111" s="1" t="n">
        <v>46221</v>
      </c>
      <c r="F111" t="inlineStr">
        <is>
          <t>ÖREBRO LÄN</t>
        </is>
      </c>
      <c r="G111" t="inlineStr">
        <is>
          <t>NORA</t>
        </is>
      </c>
      <c r="I111" t="n">
        <v>1.8</v>
      </c>
      <c r="J111" t="n">
        <v>0</v>
      </c>
      <c r="K111" t="n">
        <v>0</v>
      </c>
      <c r="L111" t="n">
        <v>0</v>
      </c>
      <c r="M111" t="n">
        <v>0</v>
      </c>
      <c r="N111" t="n">
        <v>0</v>
      </c>
      <c r="O111" t="n">
        <v>0</v>
      </c>
      <c r="P111" t="n">
        <v>0</v>
      </c>
      <c r="Q111" t="n">
        <v>0</v>
      </c>
      <c r="R111" t="n">
        <v>0</v>
      </c>
      <c r="S111" t="n">
        <v>0</v>
      </c>
      <c r="T111" t="n">
        <v>0</v>
      </c>
      <c r="U111" s="2" t="inlineStr"/>
    </row>
    <row r="112" ht="15" customHeight="1">
      <c r="A112" t="inlineStr">
        <is>
          <t>A 41588-2025</t>
        </is>
      </c>
      <c r="B112" t="inlineStr">
        <is>
          <t>avverkningsanmälan</t>
        </is>
      </c>
      <c r="C112" t="inlineStr">
        <is>
          <t>Föryngringsavverkning</t>
        </is>
      </c>
      <c r="D112" s="1" t="n">
        <v>45901</v>
      </c>
      <c r="E112" s="1" t="n">
        <v>46221</v>
      </c>
      <c r="F112" t="inlineStr">
        <is>
          <t>ÖREBRO LÄN</t>
        </is>
      </c>
      <c r="G112" t="inlineStr">
        <is>
          <t>NORA</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42056-2025</t>
        </is>
      </c>
      <c r="B113" t="inlineStr">
        <is>
          <t>avverkningsanmälan</t>
        </is>
      </c>
      <c r="C113" t="inlineStr">
        <is>
          <t>Föryngringsavverkning</t>
        </is>
      </c>
      <c r="D113" s="1" t="n">
        <v>45903</v>
      </c>
      <c r="E113" s="1" t="n">
        <v>46221</v>
      </c>
      <c r="F113" t="inlineStr">
        <is>
          <t>ÖREBRO LÄN</t>
        </is>
      </c>
      <c r="G113" t="inlineStr">
        <is>
          <t>NORA</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10079-2024</t>
        </is>
      </c>
      <c r="B114" t="inlineStr">
        <is>
          <t>avverkningsanmälan</t>
        </is>
      </c>
      <c r="C114" t="inlineStr">
        <is>
          <t>Avverkning för annat ändamål</t>
        </is>
      </c>
      <c r="D114" s="1" t="n">
        <v>45364</v>
      </c>
      <c r="E114" s="1" t="n">
        <v>46221</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48707-2022</t>
        </is>
      </c>
      <c r="B115" t="inlineStr">
        <is>
          <t>avverkningsanmälan</t>
        </is>
      </c>
      <c r="C115" t="inlineStr">
        <is>
          <t>Föryngringsavverkning</t>
        </is>
      </c>
      <c r="D115" s="1" t="n">
        <v>44859</v>
      </c>
      <c r="E115" s="1" t="n">
        <v>46221</v>
      </c>
      <c r="F115" t="inlineStr">
        <is>
          <t>ÖREBRO LÄN</t>
        </is>
      </c>
      <c r="G115" t="inlineStr">
        <is>
          <t>NORA</t>
        </is>
      </c>
      <c r="I115" t="n">
        <v>7.2</v>
      </c>
      <c r="J115" t="n">
        <v>0</v>
      </c>
      <c r="K115" t="n">
        <v>0</v>
      </c>
      <c r="L115" t="n">
        <v>0</v>
      </c>
      <c r="M115" t="n">
        <v>0</v>
      </c>
      <c r="N115" t="n">
        <v>0</v>
      </c>
      <c r="O115" t="n">
        <v>0</v>
      </c>
      <c r="P115" t="n">
        <v>0</v>
      </c>
      <c r="Q115" t="n">
        <v>0</v>
      </c>
      <c r="R115" t="n">
        <v>0</v>
      </c>
      <c r="S115" t="n">
        <v>0</v>
      </c>
      <c r="T115" t="n">
        <v>0</v>
      </c>
      <c r="U115" s="2" t="inlineStr"/>
    </row>
    <row r="116" ht="15" customHeight="1">
      <c r="A116" t="inlineStr">
        <is>
          <t>A 45159-2023</t>
        </is>
      </c>
      <c r="B116" t="inlineStr">
        <is>
          <t>avverkningsanmälan</t>
        </is>
      </c>
      <c r="C116" t="inlineStr">
        <is>
          <t>Föryngringsavverkning</t>
        </is>
      </c>
      <c r="D116" s="1" t="n">
        <v>45191</v>
      </c>
      <c r="E116" s="1" t="n">
        <v>46221</v>
      </c>
      <c r="F116" t="inlineStr">
        <is>
          <t>ÖREBRO LÄN</t>
        </is>
      </c>
      <c r="G116" t="inlineStr">
        <is>
          <t>NORA</t>
        </is>
      </c>
      <c r="I116" t="n">
        <v>2</v>
      </c>
      <c r="J116" t="n">
        <v>0</v>
      </c>
      <c r="K116" t="n">
        <v>0</v>
      </c>
      <c r="L116" t="n">
        <v>0</v>
      </c>
      <c r="M116" t="n">
        <v>0</v>
      </c>
      <c r="N116" t="n">
        <v>0</v>
      </c>
      <c r="O116" t="n">
        <v>0</v>
      </c>
      <c r="P116" t="n">
        <v>0</v>
      </c>
      <c r="Q116" t="n">
        <v>0</v>
      </c>
      <c r="R116" t="n">
        <v>0</v>
      </c>
      <c r="S116" t="n">
        <v>0</v>
      </c>
      <c r="T116" t="n">
        <v>0</v>
      </c>
      <c r="U116" s="2" t="inlineStr"/>
    </row>
    <row r="117" ht="15" customHeight="1">
      <c r="A117" t="inlineStr">
        <is>
          <t>A 52879-2023</t>
        </is>
      </c>
      <c r="B117" t="inlineStr">
        <is>
          <t>avverkningsanmälan</t>
        </is>
      </c>
      <c r="C117" t="inlineStr">
        <is>
          <t>Föryngringsavverkning</t>
        </is>
      </c>
      <c r="D117" s="1" t="n">
        <v>45226</v>
      </c>
      <c r="E117" s="1" t="n">
        <v>46221</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45216-2023</t>
        </is>
      </c>
      <c r="B118" t="inlineStr">
        <is>
          <t>avverkningsanmälan</t>
        </is>
      </c>
      <c r="C118" t="inlineStr">
        <is>
          <t>Föryngringsavverkning</t>
        </is>
      </c>
      <c r="D118" s="1" t="n">
        <v>45191</v>
      </c>
      <c r="E118" s="1" t="n">
        <v>46221</v>
      </c>
      <c r="F118" t="inlineStr">
        <is>
          <t>ÖREBRO LÄN</t>
        </is>
      </c>
      <c r="G118" t="inlineStr">
        <is>
          <t>NORA</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17140-2022</t>
        </is>
      </c>
      <c r="B119" t="inlineStr">
        <is>
          <t>avverkningsanmälan</t>
        </is>
      </c>
      <c r="C119" t="inlineStr">
        <is>
          <t>Föryngringsavverkning</t>
        </is>
      </c>
      <c r="D119" s="1" t="n">
        <v>44677</v>
      </c>
      <c r="E119" s="1" t="n">
        <v>46221</v>
      </c>
      <c r="F119" t="inlineStr">
        <is>
          <t>ÖREBRO LÄN</t>
        </is>
      </c>
      <c r="G119" t="inlineStr">
        <is>
          <t>NORA</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3309-2024</t>
        </is>
      </c>
      <c r="B120" t="inlineStr">
        <is>
          <t>avverkningsanmälan</t>
        </is>
      </c>
      <c r="C120" t="inlineStr">
        <is>
          <t>Föryngringsavverkning</t>
        </is>
      </c>
      <c r="D120" s="1" t="n">
        <v>45317</v>
      </c>
      <c r="E120" s="1" t="n">
        <v>46221</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34835-2025</t>
        </is>
      </c>
      <c r="B121" t="inlineStr">
        <is>
          <t>avverkningsanmälan</t>
        </is>
      </c>
      <c r="C121" t="inlineStr">
        <is>
          <t>Föryngringsavverkning</t>
        </is>
      </c>
      <c r="D121" s="1" t="n">
        <v>45849</v>
      </c>
      <c r="E121" s="1" t="n">
        <v>46221</v>
      </c>
      <c r="F121" t="inlineStr">
        <is>
          <t>ÖREBRO LÄN</t>
        </is>
      </c>
      <c r="G121" t="inlineStr">
        <is>
          <t>NORA</t>
        </is>
      </c>
      <c r="H121" t="inlineStr">
        <is>
          <t>Sveaskog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9295-2025</t>
        </is>
      </c>
      <c r="B122" t="inlineStr">
        <is>
          <t>avverkningsanmälan</t>
        </is>
      </c>
      <c r="C122" t="inlineStr">
        <is>
          <t>Föryngringsavverkning</t>
        </is>
      </c>
      <c r="D122" s="1" t="n">
        <v>45714</v>
      </c>
      <c r="E122" s="1" t="n">
        <v>46221</v>
      </c>
      <c r="F122" t="inlineStr">
        <is>
          <t>ÖREBRO LÄN</t>
        </is>
      </c>
      <c r="G122" t="inlineStr">
        <is>
          <t>NORA</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49498-2024</t>
        </is>
      </c>
      <c r="B123" t="inlineStr">
        <is>
          <t>avverkningsanmälan</t>
        </is>
      </c>
      <c r="C123" t="inlineStr">
        <is>
          <t>Föryngringsavverkning</t>
        </is>
      </c>
      <c r="D123" s="1" t="n">
        <v>45596</v>
      </c>
      <c r="E123" s="1" t="n">
        <v>46221</v>
      </c>
      <c r="F123" t="inlineStr">
        <is>
          <t>ÖREBRO LÄN</t>
        </is>
      </c>
      <c r="G123" t="inlineStr">
        <is>
          <t>NORA</t>
        </is>
      </c>
      <c r="H123" t="inlineStr">
        <is>
          <t>Sveaskog</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24391-2024</t>
        </is>
      </c>
      <c r="B124" t="inlineStr">
        <is>
          <t>avverkningsanmälan</t>
        </is>
      </c>
      <c r="C124" t="inlineStr">
        <is>
          <t>Föryngringsavverkning</t>
        </is>
      </c>
      <c r="D124" s="1" t="n">
        <v>45457</v>
      </c>
      <c r="E124" s="1" t="n">
        <v>46221</v>
      </c>
      <c r="F124" t="inlineStr">
        <is>
          <t>ÖREBRO LÄN</t>
        </is>
      </c>
      <c r="G124" t="inlineStr">
        <is>
          <t>NORA</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24392-2024</t>
        </is>
      </c>
      <c r="B125" t="inlineStr">
        <is>
          <t>avverkningsanmälan</t>
        </is>
      </c>
      <c r="C125" t="inlineStr">
        <is>
          <t>Föryngringsavverkning</t>
        </is>
      </c>
      <c r="D125" s="1" t="n">
        <v>45457</v>
      </c>
      <c r="E125" s="1" t="n">
        <v>46221</v>
      </c>
      <c r="F125" t="inlineStr">
        <is>
          <t>ÖREBRO LÄN</t>
        </is>
      </c>
      <c r="G125" t="inlineStr">
        <is>
          <t>NORA</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29669-2025</t>
        </is>
      </c>
      <c r="B126" t="inlineStr">
        <is>
          <t>avverkningsanmälan</t>
        </is>
      </c>
      <c r="C126" t="inlineStr">
        <is>
          <t>Föryngringsavverkning</t>
        </is>
      </c>
      <c r="D126" s="1" t="n">
        <v>45825</v>
      </c>
      <c r="E126" s="1" t="n">
        <v>46221</v>
      </c>
      <c r="F126" t="inlineStr">
        <is>
          <t>ÖREBRO LÄN</t>
        </is>
      </c>
      <c r="G126" t="inlineStr">
        <is>
          <t>NORA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14315-2025</t>
        </is>
      </c>
      <c r="B127" t="inlineStr">
        <is>
          <t>avverkningsanmälan</t>
        </is>
      </c>
      <c r="C127" t="inlineStr">
        <is>
          <t>Föryngringsavverkning</t>
        </is>
      </c>
      <c r="D127" s="1" t="n">
        <v>45740</v>
      </c>
      <c r="E127" s="1" t="n">
        <v>46221</v>
      </c>
      <c r="F127" t="inlineStr">
        <is>
          <t>ÖREBRO LÄN</t>
        </is>
      </c>
      <c r="G127" t="inlineStr">
        <is>
          <t>NORA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49671-2025</t>
        </is>
      </c>
      <c r="B128" t="inlineStr">
        <is>
          <t>avverkningsanmälan</t>
        </is>
      </c>
      <c r="C128" t="inlineStr">
        <is>
          <t>Avverkning för annat ändamål</t>
        </is>
      </c>
      <c r="D128" s="1" t="n">
        <v>45939</v>
      </c>
      <c r="E128" s="1" t="n">
        <v>46221</v>
      </c>
      <c r="F128" t="inlineStr">
        <is>
          <t>ÖREBRO LÄN</t>
        </is>
      </c>
      <c r="G128" t="inlineStr">
        <is>
          <t>NORA</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34206-2022</t>
        </is>
      </c>
      <c r="B129" t="inlineStr">
        <is>
          <t>avverkningsanmälan</t>
        </is>
      </c>
      <c r="C129" t="inlineStr">
        <is>
          <t>Föryngringsavverkning</t>
        </is>
      </c>
      <c r="D129" s="1" t="n">
        <v>44791</v>
      </c>
      <c r="E129" s="1" t="n">
        <v>46221</v>
      </c>
      <c r="F129" t="inlineStr">
        <is>
          <t>ÖREBRO LÄN</t>
        </is>
      </c>
      <c r="G129" t="inlineStr">
        <is>
          <t>NORA</t>
        </is>
      </c>
      <c r="H129" t="inlineStr">
        <is>
          <t>Sveaskog</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17716-2025</t>
        </is>
      </c>
      <c r="B130" t="inlineStr">
        <is>
          <t>avverkningsanmälan</t>
        </is>
      </c>
      <c r="C130" t="inlineStr">
        <is>
          <t>Föryngringsavverkning</t>
        </is>
      </c>
      <c r="D130" s="1" t="n">
        <v>45758</v>
      </c>
      <c r="E130" s="1" t="n">
        <v>46221</v>
      </c>
      <c r="F130" t="inlineStr">
        <is>
          <t>ÖREBRO LÄN</t>
        </is>
      </c>
      <c r="G130" t="inlineStr">
        <is>
          <t>NORA</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51002-2025</t>
        </is>
      </c>
      <c r="B131" t="inlineStr">
        <is>
          <t>avverkningsanmälan</t>
        </is>
      </c>
      <c r="C131" t="inlineStr">
        <is>
          <t>Föryngringsavverkning</t>
        </is>
      </c>
      <c r="D131" s="1" t="n">
        <v>45947</v>
      </c>
      <c r="E131" s="1" t="n">
        <v>46221</v>
      </c>
      <c r="F131" t="inlineStr">
        <is>
          <t>ÖREBRO LÄN</t>
        </is>
      </c>
      <c r="G131" t="inlineStr">
        <is>
          <t>NORA</t>
        </is>
      </c>
      <c r="I131" t="n">
        <v>3.6</v>
      </c>
      <c r="J131" t="n">
        <v>0</v>
      </c>
      <c r="K131" t="n">
        <v>0</v>
      </c>
      <c r="L131" t="n">
        <v>0</v>
      </c>
      <c r="M131" t="n">
        <v>0</v>
      </c>
      <c r="N131" t="n">
        <v>0</v>
      </c>
      <c r="O131" t="n">
        <v>0</v>
      </c>
      <c r="P131" t="n">
        <v>0</v>
      </c>
      <c r="Q131" t="n">
        <v>0</v>
      </c>
      <c r="R131" t="n">
        <v>0</v>
      </c>
      <c r="S131" t="n">
        <v>0</v>
      </c>
      <c r="T131" t="n">
        <v>0</v>
      </c>
      <c r="U131" s="2" t="inlineStr"/>
    </row>
    <row r="132" ht="15" customHeight="1">
      <c r="A132" t="inlineStr">
        <is>
          <t>A 43535-2023</t>
        </is>
      </c>
      <c r="B132" t="inlineStr">
        <is>
          <t>avverkningsanmälan</t>
        </is>
      </c>
      <c r="C132" t="inlineStr">
        <is>
          <t>Föryngringsavverkning</t>
        </is>
      </c>
      <c r="D132" s="1" t="n">
        <v>45184</v>
      </c>
      <c r="E132" s="1" t="n">
        <v>46221</v>
      </c>
      <c r="F132" t="inlineStr">
        <is>
          <t>ÖREBRO LÄN</t>
        </is>
      </c>
      <c r="G132" t="inlineStr">
        <is>
          <t>NORA</t>
        </is>
      </c>
      <c r="I132" t="n">
        <v>6.4</v>
      </c>
      <c r="J132" t="n">
        <v>0</v>
      </c>
      <c r="K132" t="n">
        <v>0</v>
      </c>
      <c r="L132" t="n">
        <v>0</v>
      </c>
      <c r="M132" t="n">
        <v>0</v>
      </c>
      <c r="N132" t="n">
        <v>0</v>
      </c>
      <c r="O132" t="n">
        <v>0</v>
      </c>
      <c r="P132" t="n">
        <v>0</v>
      </c>
      <c r="Q132" t="n">
        <v>0</v>
      </c>
      <c r="R132" t="n">
        <v>0</v>
      </c>
      <c r="S132" t="n">
        <v>0</v>
      </c>
      <c r="T132" t="n">
        <v>0</v>
      </c>
      <c r="U132" s="2" t="inlineStr"/>
    </row>
    <row r="133" ht="15" customHeight="1">
      <c r="A133" t="inlineStr">
        <is>
          <t>A 51245-2025</t>
        </is>
      </c>
      <c r="B133" t="inlineStr">
        <is>
          <t>avverkningsanmälan</t>
        </is>
      </c>
      <c r="C133" t="inlineStr">
        <is>
          <t>Föryngringsavverkning</t>
        </is>
      </c>
      <c r="D133" s="1" t="n">
        <v>45947</v>
      </c>
      <c r="E133" s="1" t="n">
        <v>46221</v>
      </c>
      <c r="F133" t="inlineStr">
        <is>
          <t>ÖREBRO LÄN</t>
        </is>
      </c>
      <c r="G133" t="inlineStr">
        <is>
          <t>NORA</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35659-2023</t>
        </is>
      </c>
      <c r="B134" t="inlineStr">
        <is>
          <t>avverkningsanmälan</t>
        </is>
      </c>
      <c r="C134" t="inlineStr">
        <is>
          <t>Föryngringsavverkning</t>
        </is>
      </c>
      <c r="D134" s="1" t="n">
        <v>45147</v>
      </c>
      <c r="E134" s="1" t="n">
        <v>46221</v>
      </c>
      <c r="F134" t="inlineStr">
        <is>
          <t>ÖREBRO LÄN</t>
        </is>
      </c>
      <c r="G134" t="inlineStr">
        <is>
          <t>NORA</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52380-2025</t>
        </is>
      </c>
      <c r="B135" t="inlineStr">
        <is>
          <t>avverkningsanmälan</t>
        </is>
      </c>
      <c r="C135" t="inlineStr">
        <is>
          <t>Avverkning för att bevara och utveckla /försöksver</t>
        </is>
      </c>
      <c r="D135" s="1" t="n">
        <v>45953</v>
      </c>
      <c r="E135" s="1" t="n">
        <v>46221</v>
      </c>
      <c r="F135" t="inlineStr">
        <is>
          <t>ÖREBRO LÄN</t>
        </is>
      </c>
      <c r="G135" t="inlineStr">
        <is>
          <t>NORA</t>
        </is>
      </c>
      <c r="H135" t="inlineStr">
        <is>
          <t>Sveaskog</t>
        </is>
      </c>
      <c r="I135" t="n">
        <v>2.9</v>
      </c>
      <c r="J135" t="n">
        <v>0</v>
      </c>
      <c r="K135" t="n">
        <v>0</v>
      </c>
      <c r="L135" t="n">
        <v>0</v>
      </c>
      <c r="M135" t="n">
        <v>0</v>
      </c>
      <c r="N135" t="n">
        <v>0</v>
      </c>
      <c r="O135" t="n">
        <v>0</v>
      </c>
      <c r="P135" t="n">
        <v>0</v>
      </c>
      <c r="Q135" t="n">
        <v>0</v>
      </c>
      <c r="R135" t="n">
        <v>0</v>
      </c>
      <c r="S135" t="n">
        <v>0</v>
      </c>
      <c r="T135" t="n">
        <v>0</v>
      </c>
      <c r="U135" s="2" t="inlineStr"/>
    </row>
    <row r="136" ht="15" customHeight="1">
      <c r="A136" t="inlineStr">
        <is>
          <t>A 52505-2023</t>
        </is>
      </c>
      <c r="B136" t="inlineStr">
        <is>
          <t>avverkningsanmälan</t>
        </is>
      </c>
      <c r="C136" t="inlineStr">
        <is>
          <t>Föryngringsavverkning</t>
        </is>
      </c>
      <c r="D136" s="1" t="n">
        <v>45225</v>
      </c>
      <c r="E136" s="1" t="n">
        <v>46221</v>
      </c>
      <c r="F136" t="inlineStr">
        <is>
          <t>ÖREBRO LÄN</t>
        </is>
      </c>
      <c r="G136" t="inlineStr">
        <is>
          <t>NORA</t>
        </is>
      </c>
      <c r="I136" t="n">
        <v>2.3</v>
      </c>
      <c r="J136" t="n">
        <v>0</v>
      </c>
      <c r="K136" t="n">
        <v>0</v>
      </c>
      <c r="L136" t="n">
        <v>0</v>
      </c>
      <c r="M136" t="n">
        <v>0</v>
      </c>
      <c r="N136" t="n">
        <v>0</v>
      </c>
      <c r="O136" t="n">
        <v>0</v>
      </c>
      <c r="P136" t="n">
        <v>0</v>
      </c>
      <c r="Q136" t="n">
        <v>0</v>
      </c>
      <c r="R136" t="n">
        <v>0</v>
      </c>
      <c r="S136" t="n">
        <v>0</v>
      </c>
      <c r="T136" t="n">
        <v>0</v>
      </c>
      <c r="U136" s="2" t="inlineStr"/>
    </row>
    <row r="137" ht="15" customHeight="1">
      <c r="A137" t="inlineStr">
        <is>
          <t>A 26022-2023</t>
        </is>
      </c>
      <c r="B137" t="inlineStr">
        <is>
          <t>avverkningsanmälan</t>
        </is>
      </c>
      <c r="C137" t="inlineStr">
        <is>
          <t>Föryngringsavverkning</t>
        </is>
      </c>
      <c r="D137" s="1" t="n">
        <v>45091</v>
      </c>
      <c r="E137" s="1" t="n">
        <v>46221</v>
      </c>
      <c r="F137" t="inlineStr">
        <is>
          <t>ÖREBRO LÄN</t>
        </is>
      </c>
      <c r="G137" t="inlineStr">
        <is>
          <t>NORA</t>
        </is>
      </c>
      <c r="H137" t="inlineStr">
        <is>
          <t>Kyrkan</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38179-2023</t>
        </is>
      </c>
      <c r="B138" t="inlineStr">
        <is>
          <t>avverkningsanmälan</t>
        </is>
      </c>
      <c r="C138" t="inlineStr">
        <is>
          <t>Föryngringsavverkning</t>
        </is>
      </c>
      <c r="D138" s="1" t="n">
        <v>45161</v>
      </c>
      <c r="E138" s="1" t="n">
        <v>46221</v>
      </c>
      <c r="F138" t="inlineStr">
        <is>
          <t>ÖREBRO LÄN</t>
        </is>
      </c>
      <c r="G138" t="inlineStr">
        <is>
          <t>NORA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45645-2022</t>
        </is>
      </c>
      <c r="B139" t="inlineStr">
        <is>
          <t>avverkningsanmälan</t>
        </is>
      </c>
      <c r="C139" t="inlineStr">
        <is>
          <t>Föryngringsavverkning</t>
        </is>
      </c>
      <c r="D139" s="1" t="n">
        <v>44845</v>
      </c>
      <c r="E139" s="1" t="n">
        <v>46221</v>
      </c>
      <c r="F139" t="inlineStr">
        <is>
          <t>ÖREBRO LÄN</t>
        </is>
      </c>
      <c r="G139" t="inlineStr">
        <is>
          <t>NORA</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10441-2026</t>
        </is>
      </c>
      <c r="B140" t="inlineStr">
        <is>
          <t>avverkningsanmälan</t>
        </is>
      </c>
      <c r="C140" t="inlineStr">
        <is>
          <t>Föryngringsavverkning</t>
        </is>
      </c>
      <c r="D140" s="1" t="n">
        <v>46076</v>
      </c>
      <c r="E140" s="1" t="n">
        <v>46221</v>
      </c>
      <c r="F140" t="inlineStr">
        <is>
          <t>ÖREBRO LÄN</t>
        </is>
      </c>
      <c r="G140" t="inlineStr">
        <is>
          <t>NORA</t>
        </is>
      </c>
      <c r="H140" t="inlineStr">
        <is>
          <t>Övriga Aktiebolag</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54595-2025</t>
        </is>
      </c>
      <c r="B141" t="inlineStr">
        <is>
          <t>avverkningsanmälan</t>
        </is>
      </c>
      <c r="C141" t="inlineStr">
        <is>
          <t>Föryngringsavverkning</t>
        </is>
      </c>
      <c r="D141" s="1" t="n">
        <v>45965</v>
      </c>
      <c r="E141" s="1" t="n">
        <v>46221</v>
      </c>
      <c r="F141" t="inlineStr">
        <is>
          <t>ÖREBRO LÄN</t>
        </is>
      </c>
      <c r="G141" t="inlineStr">
        <is>
          <t>NORA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40497-2024</t>
        </is>
      </c>
      <c r="B142" t="inlineStr">
        <is>
          <t>avverkningsanmälan</t>
        </is>
      </c>
      <c r="C142" t="inlineStr">
        <is>
          <t>Föryngringsavverkning</t>
        </is>
      </c>
      <c r="D142" s="1" t="n">
        <v>45555</v>
      </c>
      <c r="E142" s="1" t="n">
        <v>46221</v>
      </c>
      <c r="F142" t="inlineStr">
        <is>
          <t>ÖREBRO LÄN</t>
        </is>
      </c>
      <c r="G142" t="inlineStr">
        <is>
          <t>NORA</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64026-2025</t>
        </is>
      </c>
      <c r="B143" t="inlineStr">
        <is>
          <t>avverkningsanmälan</t>
        </is>
      </c>
      <c r="C143" t="inlineStr">
        <is>
          <t>Föryngringsavverkning</t>
        </is>
      </c>
      <c r="D143" s="1" t="n">
        <v>46021</v>
      </c>
      <c r="E143" s="1" t="n">
        <v>46221</v>
      </c>
      <c r="F143" t="inlineStr">
        <is>
          <t>ÖREBRO LÄN</t>
        </is>
      </c>
      <c r="G143" t="inlineStr">
        <is>
          <t>NORA</t>
        </is>
      </c>
      <c r="I143" t="n">
        <v>2</v>
      </c>
      <c r="J143" t="n">
        <v>0</v>
      </c>
      <c r="K143" t="n">
        <v>0</v>
      </c>
      <c r="L143" t="n">
        <v>0</v>
      </c>
      <c r="M143" t="n">
        <v>0</v>
      </c>
      <c r="N143" t="n">
        <v>0</v>
      </c>
      <c r="O143" t="n">
        <v>0</v>
      </c>
      <c r="P143" t="n">
        <v>0</v>
      </c>
      <c r="Q143" t="n">
        <v>0</v>
      </c>
      <c r="R143" t="n">
        <v>0</v>
      </c>
      <c r="S143" t="n">
        <v>0</v>
      </c>
      <c r="T143" t="n">
        <v>0</v>
      </c>
      <c r="U143" s="2" t="inlineStr"/>
    </row>
    <row r="144" ht="15" customHeight="1">
      <c r="A144" t="inlineStr">
        <is>
          <t>A 22389-2023</t>
        </is>
      </c>
      <c r="B144" t="inlineStr">
        <is>
          <t>avverkningsanmälan</t>
        </is>
      </c>
      <c r="C144" t="inlineStr">
        <is>
          <t>Föryngringsavverkning</t>
        </is>
      </c>
      <c r="D144" s="1" t="n">
        <v>45070</v>
      </c>
      <c r="E144" s="1" t="n">
        <v>46221</v>
      </c>
      <c r="F144" t="inlineStr">
        <is>
          <t>ÖREBRO LÄN</t>
        </is>
      </c>
      <c r="G144" t="inlineStr">
        <is>
          <t>NORA</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58521-2025</t>
        </is>
      </c>
      <c r="B145" t="inlineStr">
        <is>
          <t>avverkningsanmälan</t>
        </is>
      </c>
      <c r="C145" t="inlineStr">
        <is>
          <t>Föryngringsavverkning</t>
        </is>
      </c>
      <c r="D145" s="1" t="n">
        <v>45985</v>
      </c>
      <c r="E145" s="1" t="n">
        <v>46221</v>
      </c>
      <c r="F145" t="inlineStr">
        <is>
          <t>ÖREBRO LÄN</t>
        </is>
      </c>
      <c r="G145" t="inlineStr">
        <is>
          <t>NORA</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46544-2021</t>
        </is>
      </c>
      <c r="B146" t="inlineStr">
        <is>
          <t>avverkningsanmälan</t>
        </is>
      </c>
      <c r="C146" t="inlineStr">
        <is>
          <t>Föryngringsavverkning</t>
        </is>
      </c>
      <c r="D146" s="1" t="n">
        <v>44445</v>
      </c>
      <c r="E146" s="1" t="n">
        <v>46221</v>
      </c>
      <c r="F146" t="inlineStr">
        <is>
          <t>ÖREBRO LÄN</t>
        </is>
      </c>
      <c r="G146" t="inlineStr">
        <is>
          <t>NORA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12573-2026</t>
        </is>
      </c>
      <c r="B147" t="inlineStr">
        <is>
          <t>avverkningsanmälan</t>
        </is>
      </c>
      <c r="C147" t="inlineStr">
        <is>
          <t>Föryngringsavverkning</t>
        </is>
      </c>
      <c r="D147" s="1" t="n">
        <v>46090</v>
      </c>
      <c r="E147" s="1" t="n">
        <v>46221</v>
      </c>
      <c r="F147" t="inlineStr">
        <is>
          <t>ÖREBRO LÄN</t>
        </is>
      </c>
      <c r="G147" t="inlineStr">
        <is>
          <t>NORA</t>
        </is>
      </c>
      <c r="I147" t="n">
        <v>11.5</v>
      </c>
      <c r="J147" t="n">
        <v>0</v>
      </c>
      <c r="K147" t="n">
        <v>0</v>
      </c>
      <c r="L147" t="n">
        <v>0</v>
      </c>
      <c r="M147" t="n">
        <v>0</v>
      </c>
      <c r="N147" t="n">
        <v>0</v>
      </c>
      <c r="O147" t="n">
        <v>0</v>
      </c>
      <c r="P147" t="n">
        <v>0</v>
      </c>
      <c r="Q147" t="n">
        <v>0</v>
      </c>
      <c r="R147" t="n">
        <v>0</v>
      </c>
      <c r="S147" t="n">
        <v>0</v>
      </c>
      <c r="T147" t="n">
        <v>0</v>
      </c>
      <c r="U147" s="2" t="inlineStr"/>
    </row>
    <row r="148" ht="15" customHeight="1">
      <c r="A148" t="inlineStr">
        <is>
          <t>A 60152-2025</t>
        </is>
      </c>
      <c r="B148" t="inlineStr">
        <is>
          <t>avverkningsanmälan</t>
        </is>
      </c>
      <c r="C148" t="inlineStr">
        <is>
          <t>Föryngringsavverkning</t>
        </is>
      </c>
      <c r="D148" s="1" t="n">
        <v>45994</v>
      </c>
      <c r="E148" s="1" t="n">
        <v>46221</v>
      </c>
      <c r="F148" t="inlineStr">
        <is>
          <t>ÖREBRO LÄN</t>
        </is>
      </c>
      <c r="G148" t="inlineStr">
        <is>
          <t>NORA</t>
        </is>
      </c>
      <c r="I148" t="n">
        <v>9.4</v>
      </c>
      <c r="J148" t="n">
        <v>0</v>
      </c>
      <c r="K148" t="n">
        <v>0</v>
      </c>
      <c r="L148" t="n">
        <v>0</v>
      </c>
      <c r="M148" t="n">
        <v>0</v>
      </c>
      <c r="N148" t="n">
        <v>0</v>
      </c>
      <c r="O148" t="n">
        <v>0</v>
      </c>
      <c r="P148" t="n">
        <v>0</v>
      </c>
      <c r="Q148" t="n">
        <v>0</v>
      </c>
      <c r="R148" t="n">
        <v>0</v>
      </c>
      <c r="S148" t="n">
        <v>0</v>
      </c>
      <c r="T148" t="n">
        <v>0</v>
      </c>
      <c r="U148" s="2" t="inlineStr"/>
    </row>
    <row r="149" ht="15" customHeight="1">
      <c r="A149" t="inlineStr">
        <is>
          <t>A 60166-2025</t>
        </is>
      </c>
      <c r="B149" t="inlineStr">
        <is>
          <t>avverkningsanmälan</t>
        </is>
      </c>
      <c r="C149" t="inlineStr">
        <is>
          <t>Föryngringsavverkning</t>
        </is>
      </c>
      <c r="D149" s="1" t="n">
        <v>45994</v>
      </c>
      <c r="E149" s="1" t="n">
        <v>46221</v>
      </c>
      <c r="F149" t="inlineStr">
        <is>
          <t>ÖREBRO LÄN</t>
        </is>
      </c>
      <c r="G149" t="inlineStr">
        <is>
          <t>NORA</t>
        </is>
      </c>
      <c r="I149" t="n">
        <v>2.5</v>
      </c>
      <c r="J149" t="n">
        <v>0</v>
      </c>
      <c r="K149" t="n">
        <v>0</v>
      </c>
      <c r="L149" t="n">
        <v>0</v>
      </c>
      <c r="M149" t="n">
        <v>0</v>
      </c>
      <c r="N149" t="n">
        <v>0</v>
      </c>
      <c r="O149" t="n">
        <v>0</v>
      </c>
      <c r="P149" t="n">
        <v>0</v>
      </c>
      <c r="Q149" t="n">
        <v>0</v>
      </c>
      <c r="R149" t="n">
        <v>0</v>
      </c>
      <c r="S149" t="n">
        <v>0</v>
      </c>
      <c r="T149" t="n">
        <v>0</v>
      </c>
      <c r="U149" s="2" t="inlineStr"/>
    </row>
    <row r="150" ht="15" customHeight="1">
      <c r="A150" t="inlineStr">
        <is>
          <t>A 60548-2025</t>
        </is>
      </c>
      <c r="B150" t="inlineStr">
        <is>
          <t>avverkningsanmälan</t>
        </is>
      </c>
      <c r="C150" t="inlineStr">
        <is>
          <t>Föryngringsavverkning</t>
        </is>
      </c>
      <c r="D150" s="1" t="n">
        <v>45995</v>
      </c>
      <c r="E150" s="1" t="n">
        <v>46221</v>
      </c>
      <c r="F150" t="inlineStr">
        <is>
          <t>ÖREBRO LÄN</t>
        </is>
      </c>
      <c r="G150" t="inlineStr">
        <is>
          <t>NORA</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14242-2026</t>
        </is>
      </c>
      <c r="B151" t="inlineStr">
        <is>
          <t>avverkningsanmälan</t>
        </is>
      </c>
      <c r="C151" t="inlineStr">
        <is>
          <t>Föryngringsavverkning</t>
        </is>
      </c>
      <c r="D151" s="1" t="n">
        <v>46099</v>
      </c>
      <c r="E151" s="1" t="n">
        <v>46221</v>
      </c>
      <c r="F151" t="inlineStr">
        <is>
          <t>ÖREBRO LÄN</t>
        </is>
      </c>
      <c r="G151" t="inlineStr">
        <is>
          <t>NORA</t>
        </is>
      </c>
      <c r="I151" t="n">
        <v>3.1</v>
      </c>
      <c r="J151" t="n">
        <v>0</v>
      </c>
      <c r="K151" t="n">
        <v>0</v>
      </c>
      <c r="L151" t="n">
        <v>0</v>
      </c>
      <c r="M151" t="n">
        <v>0</v>
      </c>
      <c r="N151" t="n">
        <v>0</v>
      </c>
      <c r="O151" t="n">
        <v>0</v>
      </c>
      <c r="P151" t="n">
        <v>0</v>
      </c>
      <c r="Q151" t="n">
        <v>0</v>
      </c>
      <c r="R151" t="n">
        <v>0</v>
      </c>
      <c r="S151" t="n">
        <v>0</v>
      </c>
      <c r="T151" t="n">
        <v>0</v>
      </c>
      <c r="U151" s="2" t="inlineStr"/>
    </row>
    <row r="152" ht="15" customHeight="1">
      <c r="A152" t="inlineStr">
        <is>
          <t>A 16085-2024</t>
        </is>
      </c>
      <c r="B152" t="inlineStr">
        <is>
          <t>avverkningsanmälan</t>
        </is>
      </c>
      <c r="C152" t="inlineStr">
        <is>
          <t>Föryngringsavverkning</t>
        </is>
      </c>
      <c r="D152" s="1" t="n">
        <v>45406</v>
      </c>
      <c r="E152" s="1" t="n">
        <v>46221</v>
      </c>
      <c r="F152" t="inlineStr">
        <is>
          <t>ÖREBRO LÄN</t>
        </is>
      </c>
      <c r="G152" t="inlineStr">
        <is>
          <t>NORA</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14253-2026</t>
        </is>
      </c>
      <c r="B153" t="inlineStr">
        <is>
          <t>avverkningsanmälan</t>
        </is>
      </c>
      <c r="C153" t="inlineStr">
        <is>
          <t>Föryngringsavverkning</t>
        </is>
      </c>
      <c r="D153" s="1" t="n">
        <v>46099</v>
      </c>
      <c r="E153" s="1" t="n">
        <v>46221</v>
      </c>
      <c r="F153" t="inlineStr">
        <is>
          <t>ÖREBRO LÄN</t>
        </is>
      </c>
      <c r="G153" t="inlineStr">
        <is>
          <t>NORA</t>
        </is>
      </c>
      <c r="I153" t="n">
        <v>7</v>
      </c>
      <c r="J153" t="n">
        <v>0</v>
      </c>
      <c r="K153" t="n">
        <v>0</v>
      </c>
      <c r="L153" t="n">
        <v>0</v>
      </c>
      <c r="M153" t="n">
        <v>0</v>
      </c>
      <c r="N153" t="n">
        <v>0</v>
      </c>
      <c r="O153" t="n">
        <v>0</v>
      </c>
      <c r="P153" t="n">
        <v>0</v>
      </c>
      <c r="Q153" t="n">
        <v>0</v>
      </c>
      <c r="R153" t="n">
        <v>0</v>
      </c>
      <c r="S153" t="n">
        <v>0</v>
      </c>
      <c r="T153" t="n">
        <v>0</v>
      </c>
      <c r="U153" s="2" t="inlineStr"/>
    </row>
    <row r="154" ht="15" customHeight="1">
      <c r="A154" t="inlineStr">
        <is>
          <t>A 40710-2021</t>
        </is>
      </c>
      <c r="B154" t="inlineStr">
        <is>
          <t>avverkningsanmälan</t>
        </is>
      </c>
      <c r="C154" t="inlineStr">
        <is>
          <t>Föryngringsavverkning</t>
        </is>
      </c>
      <c r="D154" s="1" t="n">
        <v>44420</v>
      </c>
      <c r="E154" s="1" t="n">
        <v>46221</v>
      </c>
      <c r="F154" t="inlineStr">
        <is>
          <t>ÖREBRO LÄN</t>
        </is>
      </c>
      <c r="G154" t="inlineStr">
        <is>
          <t>NORA</t>
        </is>
      </c>
      <c r="I154" t="n">
        <v>3.1</v>
      </c>
      <c r="J154" t="n">
        <v>0</v>
      </c>
      <c r="K154" t="n">
        <v>0</v>
      </c>
      <c r="L154" t="n">
        <v>0</v>
      </c>
      <c r="M154" t="n">
        <v>0</v>
      </c>
      <c r="N154" t="n">
        <v>0</v>
      </c>
      <c r="O154" t="n">
        <v>0</v>
      </c>
      <c r="P154" t="n">
        <v>0</v>
      </c>
      <c r="Q154" t="n">
        <v>0</v>
      </c>
      <c r="R154" t="n">
        <v>0</v>
      </c>
      <c r="S154" t="n">
        <v>0</v>
      </c>
      <c r="T154" t="n">
        <v>0</v>
      </c>
      <c r="U154" s="2" t="inlineStr"/>
    </row>
    <row r="155" ht="15" customHeight="1">
      <c r="A155" t="inlineStr">
        <is>
          <t>A 29018-2023</t>
        </is>
      </c>
      <c r="B155" t="inlineStr">
        <is>
          <t>avverkningsanmälan</t>
        </is>
      </c>
      <c r="C155" t="inlineStr">
        <is>
          <t>Föryngringsavverkning</t>
        </is>
      </c>
      <c r="D155" s="1" t="n">
        <v>45104</v>
      </c>
      <c r="E155" s="1" t="n">
        <v>46221</v>
      </c>
      <c r="F155" t="inlineStr">
        <is>
          <t>ÖREBRO LÄN</t>
        </is>
      </c>
      <c r="G155" t="inlineStr">
        <is>
          <t>NORA</t>
        </is>
      </c>
      <c r="I155" t="n">
        <v>6.3</v>
      </c>
      <c r="J155" t="n">
        <v>0</v>
      </c>
      <c r="K155" t="n">
        <v>0</v>
      </c>
      <c r="L155" t="n">
        <v>0</v>
      </c>
      <c r="M155" t="n">
        <v>0</v>
      </c>
      <c r="N155" t="n">
        <v>0</v>
      </c>
      <c r="O155" t="n">
        <v>0</v>
      </c>
      <c r="P155" t="n">
        <v>0</v>
      </c>
      <c r="Q155" t="n">
        <v>0</v>
      </c>
      <c r="R155" t="n">
        <v>0</v>
      </c>
      <c r="S155" t="n">
        <v>0</v>
      </c>
      <c r="T155" t="n">
        <v>0</v>
      </c>
      <c r="U155" s="2" t="inlineStr"/>
    </row>
    <row r="156" ht="15" customHeight="1">
      <c r="A156" t="inlineStr">
        <is>
          <t>A 60301-2023</t>
        </is>
      </c>
      <c r="B156" t="inlineStr">
        <is>
          <t>avverkningsanmälan</t>
        </is>
      </c>
      <c r="C156" t="inlineStr">
        <is>
          <t>Föryngringsavverkning</t>
        </is>
      </c>
      <c r="D156" s="1" t="n">
        <v>45258</v>
      </c>
      <c r="E156" s="1" t="n">
        <v>46221</v>
      </c>
      <c r="F156" t="inlineStr">
        <is>
          <t>ÖREBRO LÄN</t>
        </is>
      </c>
      <c r="G156" t="inlineStr">
        <is>
          <t>NORA</t>
        </is>
      </c>
      <c r="I156" t="n">
        <v>6</v>
      </c>
      <c r="J156" t="n">
        <v>0</v>
      </c>
      <c r="K156" t="n">
        <v>0</v>
      </c>
      <c r="L156" t="n">
        <v>0</v>
      </c>
      <c r="M156" t="n">
        <v>0</v>
      </c>
      <c r="N156" t="n">
        <v>0</v>
      </c>
      <c r="O156" t="n">
        <v>0</v>
      </c>
      <c r="P156" t="n">
        <v>0</v>
      </c>
      <c r="Q156" t="n">
        <v>0</v>
      </c>
      <c r="R156" t="n">
        <v>0</v>
      </c>
      <c r="S156" t="n">
        <v>0</v>
      </c>
      <c r="T156" t="n">
        <v>0</v>
      </c>
      <c r="U156" s="2" t="inlineStr"/>
    </row>
    <row r="157" ht="15" customHeight="1">
      <c r="A157" t="inlineStr">
        <is>
          <t>A 38177-2023</t>
        </is>
      </c>
      <c r="B157" t="inlineStr">
        <is>
          <t>avverkningsanmälan</t>
        </is>
      </c>
      <c r="C157" t="inlineStr">
        <is>
          <t>Föryngringsavverkning</t>
        </is>
      </c>
      <c r="D157" s="1" t="n">
        <v>45161</v>
      </c>
      <c r="E157" s="1" t="n">
        <v>46221</v>
      </c>
      <c r="F157" t="inlineStr">
        <is>
          <t>ÖREBRO LÄN</t>
        </is>
      </c>
      <c r="G157" t="inlineStr">
        <is>
          <t>NORA</t>
        </is>
      </c>
      <c r="I157" t="n">
        <v>8.5</v>
      </c>
      <c r="J157" t="n">
        <v>0</v>
      </c>
      <c r="K157" t="n">
        <v>0</v>
      </c>
      <c r="L157" t="n">
        <v>0</v>
      </c>
      <c r="M157" t="n">
        <v>0</v>
      </c>
      <c r="N157" t="n">
        <v>0</v>
      </c>
      <c r="O157" t="n">
        <v>0</v>
      </c>
      <c r="P157" t="n">
        <v>0</v>
      </c>
      <c r="Q157" t="n">
        <v>0</v>
      </c>
      <c r="R157" t="n">
        <v>0</v>
      </c>
      <c r="S157" t="n">
        <v>0</v>
      </c>
      <c r="T157" t="n">
        <v>0</v>
      </c>
      <c r="U157" s="2" t="inlineStr"/>
    </row>
    <row r="158" ht="15" customHeight="1">
      <c r="A158" t="inlineStr">
        <is>
          <t>A 10882-2024</t>
        </is>
      </c>
      <c r="B158" t="inlineStr">
        <is>
          <t>avverkningsanmälan</t>
        </is>
      </c>
      <c r="C158" t="inlineStr">
        <is>
          <t>Föryngringsavverkning</t>
        </is>
      </c>
      <c r="D158" s="1" t="n">
        <v>45370</v>
      </c>
      <c r="E158" s="1" t="n">
        <v>46221</v>
      </c>
      <c r="F158" t="inlineStr">
        <is>
          <t>ÖREBRO LÄN</t>
        </is>
      </c>
      <c r="G158" t="inlineStr">
        <is>
          <t>NORA</t>
        </is>
      </c>
      <c r="H158" t="inlineStr">
        <is>
          <t>Sveaskog</t>
        </is>
      </c>
      <c r="I158" t="n">
        <v>5.7</v>
      </c>
      <c r="J158" t="n">
        <v>0</v>
      </c>
      <c r="K158" t="n">
        <v>0</v>
      </c>
      <c r="L158" t="n">
        <v>0</v>
      </c>
      <c r="M158" t="n">
        <v>0</v>
      </c>
      <c r="N158" t="n">
        <v>0</v>
      </c>
      <c r="O158" t="n">
        <v>0</v>
      </c>
      <c r="P158" t="n">
        <v>0</v>
      </c>
      <c r="Q158" t="n">
        <v>0</v>
      </c>
      <c r="R158" t="n">
        <v>0</v>
      </c>
      <c r="S158" t="n">
        <v>0</v>
      </c>
      <c r="T158" t="n">
        <v>0</v>
      </c>
      <c r="U158" s="2" t="inlineStr"/>
    </row>
    <row r="159" ht="15" customHeight="1">
      <c r="A159" t="inlineStr">
        <is>
          <t>A 15012-2023</t>
        </is>
      </c>
      <c r="B159" t="inlineStr">
        <is>
          <t>avverkningsanmälan</t>
        </is>
      </c>
      <c r="C159" t="inlineStr">
        <is>
          <t>Föryngringsavverkning</t>
        </is>
      </c>
      <c r="D159" s="1" t="n">
        <v>45015</v>
      </c>
      <c r="E159" s="1" t="n">
        <v>46221</v>
      </c>
      <c r="F159" t="inlineStr">
        <is>
          <t>ÖREBRO LÄN</t>
        </is>
      </c>
      <c r="G159" t="inlineStr">
        <is>
          <t>NORA</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15702-2026</t>
        </is>
      </c>
      <c r="B160" t="inlineStr">
        <is>
          <t>avverkningsanmälan</t>
        </is>
      </c>
      <c r="C160" t="inlineStr">
        <is>
          <t>Föryngringsavverkning</t>
        </is>
      </c>
      <c r="D160" s="1" t="n">
        <v>46107</v>
      </c>
      <c r="E160" s="1" t="n">
        <v>46221</v>
      </c>
      <c r="F160" t="inlineStr">
        <is>
          <t>ÖREBRO LÄN</t>
        </is>
      </c>
      <c r="G160" t="inlineStr">
        <is>
          <t>NORA</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8295-2024</t>
        </is>
      </c>
      <c r="B161" t="inlineStr">
        <is>
          <t>avverkningsanmälan</t>
        </is>
      </c>
      <c r="C161" t="inlineStr">
        <is>
          <t>Föryngringsavverkning</t>
        </is>
      </c>
      <c r="D161" s="1" t="n">
        <v>45352</v>
      </c>
      <c r="E161" s="1" t="n">
        <v>46221</v>
      </c>
      <c r="F161" t="inlineStr">
        <is>
          <t>ÖREBRO LÄN</t>
        </is>
      </c>
      <c r="G161" t="inlineStr">
        <is>
          <t>NORA</t>
        </is>
      </c>
      <c r="I161" t="n">
        <v>5.1</v>
      </c>
      <c r="J161" t="n">
        <v>0</v>
      </c>
      <c r="K161" t="n">
        <v>0</v>
      </c>
      <c r="L161" t="n">
        <v>0</v>
      </c>
      <c r="M161" t="n">
        <v>0</v>
      </c>
      <c r="N161" t="n">
        <v>0</v>
      </c>
      <c r="O161" t="n">
        <v>0</v>
      </c>
      <c r="P161" t="n">
        <v>0</v>
      </c>
      <c r="Q161" t="n">
        <v>0</v>
      </c>
      <c r="R161" t="n">
        <v>0</v>
      </c>
      <c r="S161" t="n">
        <v>0</v>
      </c>
      <c r="T161" t="n">
        <v>0</v>
      </c>
      <c r="U161" s="2" t="inlineStr"/>
    </row>
    <row r="162" ht="15" customHeight="1">
      <c r="A162" t="inlineStr">
        <is>
          <t>A 15712-2026</t>
        </is>
      </c>
      <c r="B162" t="inlineStr">
        <is>
          <t>avverkningsanmälan</t>
        </is>
      </c>
      <c r="C162" t="inlineStr">
        <is>
          <t>Föryngringsavverkning</t>
        </is>
      </c>
      <c r="D162" s="1" t="n">
        <v>46107</v>
      </c>
      <c r="E162" s="1" t="n">
        <v>46221</v>
      </c>
      <c r="F162" t="inlineStr">
        <is>
          <t>ÖREBRO LÄN</t>
        </is>
      </c>
      <c r="G162" t="inlineStr">
        <is>
          <t>NORA</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15692-2026</t>
        </is>
      </c>
      <c r="B163" t="inlineStr">
        <is>
          <t>avverkningsanmälan</t>
        </is>
      </c>
      <c r="C163" t="inlineStr">
        <is>
          <t>Föryngringsavverkning</t>
        </is>
      </c>
      <c r="D163" s="1" t="n">
        <v>46107</v>
      </c>
      <c r="E163" s="1" t="n">
        <v>46221</v>
      </c>
      <c r="F163" t="inlineStr">
        <is>
          <t>ÖREBRO LÄN</t>
        </is>
      </c>
      <c r="G163" t="inlineStr">
        <is>
          <t>NORA</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1766-2026</t>
        </is>
      </c>
      <c r="B164" t="inlineStr">
        <is>
          <t>avverkningsanmälan</t>
        </is>
      </c>
      <c r="C164" t="inlineStr">
        <is>
          <t>Föryngringsavverkning</t>
        </is>
      </c>
      <c r="D164" s="1" t="n">
        <v>46034</v>
      </c>
      <c r="E164" s="1" t="n">
        <v>46221</v>
      </c>
      <c r="F164" t="inlineStr">
        <is>
          <t>ÖREBRO LÄN</t>
        </is>
      </c>
      <c r="G164" t="inlineStr">
        <is>
          <t>NORA</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39707-2022</t>
        </is>
      </c>
      <c r="B165" t="inlineStr">
        <is>
          <t>avverkningsanmälan</t>
        </is>
      </c>
      <c r="C165" t="inlineStr">
        <is>
          <t>Föryngringsavverkning</t>
        </is>
      </c>
      <c r="D165" s="1" t="n">
        <v>44818</v>
      </c>
      <c r="E165" s="1" t="n">
        <v>46221</v>
      </c>
      <c r="F165" t="inlineStr">
        <is>
          <t>ÖREBRO LÄN</t>
        </is>
      </c>
      <c r="G165" t="inlineStr">
        <is>
          <t>NORA</t>
        </is>
      </c>
      <c r="H165" t="inlineStr">
        <is>
          <t>Sveaskog</t>
        </is>
      </c>
      <c r="I165" t="n">
        <v>6.6</v>
      </c>
      <c r="J165" t="n">
        <v>0</v>
      </c>
      <c r="K165" t="n">
        <v>0</v>
      </c>
      <c r="L165" t="n">
        <v>0</v>
      </c>
      <c r="M165" t="n">
        <v>0</v>
      </c>
      <c r="N165" t="n">
        <v>0</v>
      </c>
      <c r="O165" t="n">
        <v>0</v>
      </c>
      <c r="P165" t="n">
        <v>0</v>
      </c>
      <c r="Q165" t="n">
        <v>0</v>
      </c>
      <c r="R165" t="n">
        <v>0</v>
      </c>
      <c r="S165" t="n">
        <v>0</v>
      </c>
      <c r="T165" t="n">
        <v>0</v>
      </c>
      <c r="U165" s="2" t="inlineStr"/>
    </row>
    <row r="166" ht="15" customHeight="1">
      <c r="A166" t="inlineStr">
        <is>
          <t>A 16813-2026</t>
        </is>
      </c>
      <c r="B166" t="inlineStr">
        <is>
          <t>avverkningsanmälan</t>
        </is>
      </c>
      <c r="C166" t="inlineStr">
        <is>
          <t>Föryngringsavverkning</t>
        </is>
      </c>
      <c r="D166" s="1" t="n">
        <v>46113</v>
      </c>
      <c r="E166" s="1" t="n">
        <v>46221</v>
      </c>
      <c r="F166" t="inlineStr">
        <is>
          <t>ÖREBRO LÄN</t>
        </is>
      </c>
      <c r="G166" t="inlineStr">
        <is>
          <t>NORA</t>
        </is>
      </c>
      <c r="H166" t="inlineStr">
        <is>
          <t>Sveaskog</t>
        </is>
      </c>
      <c r="I166" t="n">
        <v>3.8</v>
      </c>
      <c r="J166" t="n">
        <v>0</v>
      </c>
      <c r="K166" t="n">
        <v>0</v>
      </c>
      <c r="L166" t="n">
        <v>0</v>
      </c>
      <c r="M166" t="n">
        <v>0</v>
      </c>
      <c r="N166" t="n">
        <v>0</v>
      </c>
      <c r="O166" t="n">
        <v>0</v>
      </c>
      <c r="P166" t="n">
        <v>0</v>
      </c>
      <c r="Q166" t="n">
        <v>0</v>
      </c>
      <c r="R166" t="n">
        <v>0</v>
      </c>
      <c r="S166" t="n">
        <v>0</v>
      </c>
      <c r="T166" t="n">
        <v>0</v>
      </c>
      <c r="U166" s="2" t="inlineStr"/>
    </row>
    <row r="167" ht="15" customHeight="1">
      <c r="A167" t="inlineStr">
        <is>
          <t>A 16815-2026</t>
        </is>
      </c>
      <c r="B167" t="inlineStr">
        <is>
          <t>avverkningsanmälan</t>
        </is>
      </c>
      <c r="C167" t="inlineStr">
        <is>
          <t>Föryngringsavverkning</t>
        </is>
      </c>
      <c r="D167" s="1" t="n">
        <v>46113</v>
      </c>
      <c r="E167" s="1" t="n">
        <v>46221</v>
      </c>
      <c r="F167" t="inlineStr">
        <is>
          <t>ÖREBRO LÄN</t>
        </is>
      </c>
      <c r="G167" t="inlineStr">
        <is>
          <t>NORA</t>
        </is>
      </c>
      <c r="H167" t="inlineStr">
        <is>
          <t>Sveaskog</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16816-2026</t>
        </is>
      </c>
      <c r="B168" t="inlineStr">
        <is>
          <t>avverkningsanmälan</t>
        </is>
      </c>
      <c r="C168" t="inlineStr">
        <is>
          <t>Föryngringsavverkning</t>
        </is>
      </c>
      <c r="D168" s="1" t="n">
        <v>46113</v>
      </c>
      <c r="E168" s="1" t="n">
        <v>46221</v>
      </c>
      <c r="F168" t="inlineStr">
        <is>
          <t>ÖREBRO LÄN</t>
        </is>
      </c>
      <c r="G168" t="inlineStr">
        <is>
          <t>NORA</t>
        </is>
      </c>
      <c r="H168" t="inlineStr">
        <is>
          <t>Sveaskog</t>
        </is>
      </c>
      <c r="I168" t="n">
        <v>3.7</v>
      </c>
      <c r="J168" t="n">
        <v>0</v>
      </c>
      <c r="K168" t="n">
        <v>0</v>
      </c>
      <c r="L168" t="n">
        <v>0</v>
      </c>
      <c r="M168" t="n">
        <v>0</v>
      </c>
      <c r="N168" t="n">
        <v>0</v>
      </c>
      <c r="O168" t="n">
        <v>0</v>
      </c>
      <c r="P168" t="n">
        <v>0</v>
      </c>
      <c r="Q168" t="n">
        <v>0</v>
      </c>
      <c r="R168" t="n">
        <v>0</v>
      </c>
      <c r="S168" t="n">
        <v>0</v>
      </c>
      <c r="T168" t="n">
        <v>0</v>
      </c>
      <c r="U168" s="2" t="inlineStr"/>
    </row>
    <row r="169" ht="15" customHeight="1">
      <c r="A169" t="inlineStr">
        <is>
          <t>A 16810-2026</t>
        </is>
      </c>
      <c r="B169" t="inlineStr">
        <is>
          <t>avverkningsanmälan</t>
        </is>
      </c>
      <c r="C169" t="inlineStr">
        <is>
          <t>Föryngringsavverkning</t>
        </is>
      </c>
      <c r="D169" s="1" t="n">
        <v>46113</v>
      </c>
      <c r="E169" s="1" t="n">
        <v>46221</v>
      </c>
      <c r="F169" t="inlineStr">
        <is>
          <t>ÖREBRO LÄN</t>
        </is>
      </c>
      <c r="G169" t="inlineStr">
        <is>
          <t>NORA</t>
        </is>
      </c>
      <c r="H169" t="inlineStr">
        <is>
          <t>Sveaskog</t>
        </is>
      </c>
      <c r="I169" t="n">
        <v>7.2</v>
      </c>
      <c r="J169" t="n">
        <v>0</v>
      </c>
      <c r="K169" t="n">
        <v>0</v>
      </c>
      <c r="L169" t="n">
        <v>0</v>
      </c>
      <c r="M169" t="n">
        <v>0</v>
      </c>
      <c r="N169" t="n">
        <v>0</v>
      </c>
      <c r="O169" t="n">
        <v>0</v>
      </c>
      <c r="P169" t="n">
        <v>0</v>
      </c>
      <c r="Q169" t="n">
        <v>0</v>
      </c>
      <c r="R169" t="n">
        <v>0</v>
      </c>
      <c r="S169" t="n">
        <v>0</v>
      </c>
      <c r="T169" t="n">
        <v>0</v>
      </c>
      <c r="U169" s="2" t="inlineStr"/>
    </row>
    <row r="170" ht="15" customHeight="1">
      <c r="A170" t="inlineStr">
        <is>
          <t>A 16811-2026</t>
        </is>
      </c>
      <c r="B170" t="inlineStr">
        <is>
          <t>avverkningsanmälan</t>
        </is>
      </c>
      <c r="C170" t="inlineStr">
        <is>
          <t>Föryngringsavverkning</t>
        </is>
      </c>
      <c r="D170" s="1" t="n">
        <v>46113</v>
      </c>
      <c r="E170" s="1" t="n">
        <v>46221</v>
      </c>
      <c r="F170" t="inlineStr">
        <is>
          <t>ÖREBRO LÄN</t>
        </is>
      </c>
      <c r="G170" t="inlineStr">
        <is>
          <t>NORA</t>
        </is>
      </c>
      <c r="H170" t="inlineStr">
        <is>
          <t>Sveaskog</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16808-2026</t>
        </is>
      </c>
      <c r="B171" t="inlineStr">
        <is>
          <t>avverkningsanmälan</t>
        </is>
      </c>
      <c r="C171" t="inlineStr">
        <is>
          <t>Föryngringsavverkning</t>
        </is>
      </c>
      <c r="D171" s="1" t="n">
        <v>46113</v>
      </c>
      <c r="E171" s="1" t="n">
        <v>46221</v>
      </c>
      <c r="F171" t="inlineStr">
        <is>
          <t>ÖREBRO LÄN</t>
        </is>
      </c>
      <c r="G171" t="inlineStr">
        <is>
          <t>NORA</t>
        </is>
      </c>
      <c r="H171" t="inlineStr">
        <is>
          <t>Sveaskog</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16814-2026</t>
        </is>
      </c>
      <c r="B172" t="inlineStr">
        <is>
          <t>avverkningsanmälan</t>
        </is>
      </c>
      <c r="C172" t="inlineStr">
        <is>
          <t>Föryngringsavverkning</t>
        </is>
      </c>
      <c r="D172" s="1" t="n">
        <v>46113</v>
      </c>
      <c r="E172" s="1" t="n">
        <v>46221</v>
      </c>
      <c r="F172" t="inlineStr">
        <is>
          <t>ÖREBRO LÄN</t>
        </is>
      </c>
      <c r="G172" t="inlineStr">
        <is>
          <t>NORA</t>
        </is>
      </c>
      <c r="H172" t="inlineStr">
        <is>
          <t>Sveaskog</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24820-2024</t>
        </is>
      </c>
      <c r="B173" t="inlineStr">
        <is>
          <t>avverkningsanmälan</t>
        </is>
      </c>
      <c r="C173" t="inlineStr">
        <is>
          <t>Föryngringsavverkning</t>
        </is>
      </c>
      <c r="D173" s="1" t="n">
        <v>45461</v>
      </c>
      <c r="E173" s="1" t="n">
        <v>46221</v>
      </c>
      <c r="F173" t="inlineStr">
        <is>
          <t>ÖREBRO LÄN</t>
        </is>
      </c>
      <c r="G173" t="inlineStr">
        <is>
          <t>NORA</t>
        </is>
      </c>
      <c r="I173" t="n">
        <v>5.6</v>
      </c>
      <c r="J173" t="n">
        <v>0</v>
      </c>
      <c r="K173" t="n">
        <v>0</v>
      </c>
      <c r="L173" t="n">
        <v>0</v>
      </c>
      <c r="M173" t="n">
        <v>0</v>
      </c>
      <c r="N173" t="n">
        <v>0</v>
      </c>
      <c r="O173" t="n">
        <v>0</v>
      </c>
      <c r="P173" t="n">
        <v>0</v>
      </c>
      <c r="Q173" t="n">
        <v>0</v>
      </c>
      <c r="R173" t="n">
        <v>0</v>
      </c>
      <c r="S173" t="n">
        <v>0</v>
      </c>
      <c r="T173" t="n">
        <v>0</v>
      </c>
      <c r="U173" s="2" t="inlineStr"/>
    </row>
    <row r="174" ht="15" customHeight="1">
      <c r="A174" t="inlineStr">
        <is>
          <t>A 57639-2023</t>
        </is>
      </c>
      <c r="B174" t="inlineStr">
        <is>
          <t>avverkningsanmälan</t>
        </is>
      </c>
      <c r="C174" t="inlineStr">
        <is>
          <t>Föryngringsavverkning</t>
        </is>
      </c>
      <c r="D174" s="1" t="n">
        <v>45246</v>
      </c>
      <c r="E174" s="1" t="n">
        <v>46221</v>
      </c>
      <c r="F174" t="inlineStr">
        <is>
          <t>ÖREBRO LÄN</t>
        </is>
      </c>
      <c r="G174" t="inlineStr">
        <is>
          <t>NORA</t>
        </is>
      </c>
      <c r="H174" t="inlineStr">
        <is>
          <t>Sveaskog</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12699-2023</t>
        </is>
      </c>
      <c r="B175" t="inlineStr">
        <is>
          <t>avverkningsanmälan</t>
        </is>
      </c>
      <c r="C175" t="inlineStr">
        <is>
          <t>Föryngringsavverkning</t>
        </is>
      </c>
      <c r="D175" s="1" t="n">
        <v>45000</v>
      </c>
      <c r="E175" s="1" t="n">
        <v>46221</v>
      </c>
      <c r="F175" t="inlineStr">
        <is>
          <t>ÖREBRO LÄN</t>
        </is>
      </c>
      <c r="G175" t="inlineStr">
        <is>
          <t>NORA</t>
        </is>
      </c>
      <c r="H175" t="inlineStr">
        <is>
          <t>Sveaskog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45234-2023</t>
        </is>
      </c>
      <c r="B176" t="inlineStr">
        <is>
          <t>avverkningsanmälan</t>
        </is>
      </c>
      <c r="C176" t="inlineStr">
        <is>
          <t>Föryngringsavverkning</t>
        </is>
      </c>
      <c r="D176" s="1" t="n">
        <v>45191</v>
      </c>
      <c r="E176" s="1" t="n">
        <v>46221</v>
      </c>
      <c r="F176" t="inlineStr">
        <is>
          <t>ÖREBRO LÄN</t>
        </is>
      </c>
      <c r="G176" t="inlineStr">
        <is>
          <t>NORA</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12646-2024</t>
        </is>
      </c>
      <c r="B177" t="inlineStr">
        <is>
          <t>avverkningsanmälan</t>
        </is>
      </c>
      <c r="C177" t="inlineStr">
        <is>
          <t>Föryngringsavverkning</t>
        </is>
      </c>
      <c r="D177" s="1" t="n">
        <v>45384</v>
      </c>
      <c r="E177" s="1" t="n">
        <v>46221</v>
      </c>
      <c r="F177" t="inlineStr">
        <is>
          <t>ÖREBRO LÄN</t>
        </is>
      </c>
      <c r="G177" t="inlineStr">
        <is>
          <t>NORA</t>
        </is>
      </c>
      <c r="I177" t="n">
        <v>8.699999999999999</v>
      </c>
      <c r="J177" t="n">
        <v>0</v>
      </c>
      <c r="K177" t="n">
        <v>0</v>
      </c>
      <c r="L177" t="n">
        <v>0</v>
      </c>
      <c r="M177" t="n">
        <v>0</v>
      </c>
      <c r="N177" t="n">
        <v>0</v>
      </c>
      <c r="O177" t="n">
        <v>0</v>
      </c>
      <c r="P177" t="n">
        <v>0</v>
      </c>
      <c r="Q177" t="n">
        <v>0</v>
      </c>
      <c r="R177" t="n">
        <v>0</v>
      </c>
      <c r="S177" t="n">
        <v>0</v>
      </c>
      <c r="T177" t="n">
        <v>0</v>
      </c>
      <c r="U177" s="2" t="inlineStr"/>
    </row>
    <row r="178" ht="15" customHeight="1">
      <c r="A178" t="inlineStr">
        <is>
          <t>A 19501-2026</t>
        </is>
      </c>
      <c r="B178" t="inlineStr">
        <is>
          <t>avverkningsanmälan</t>
        </is>
      </c>
      <c r="C178" t="inlineStr">
        <is>
          <t>Föryngringsavverkning</t>
        </is>
      </c>
      <c r="D178" s="1" t="n">
        <v>46134</v>
      </c>
      <c r="E178" s="1" t="n">
        <v>46221</v>
      </c>
      <c r="F178" t="inlineStr">
        <is>
          <t>ÖREBRO LÄN</t>
        </is>
      </c>
      <c r="G178" t="inlineStr">
        <is>
          <t>NORA</t>
        </is>
      </c>
      <c r="H178" t="inlineStr">
        <is>
          <t>Sveaskog</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19503-2026</t>
        </is>
      </c>
      <c r="B179" t="inlineStr">
        <is>
          <t>avverkningsanmälan</t>
        </is>
      </c>
      <c r="C179" t="inlineStr">
        <is>
          <t>Föryngringsavverkning</t>
        </is>
      </c>
      <c r="D179" s="1" t="n">
        <v>46134</v>
      </c>
      <c r="E179" s="1" t="n">
        <v>46221</v>
      </c>
      <c r="F179" t="inlineStr">
        <is>
          <t>ÖREBRO LÄN</t>
        </is>
      </c>
      <c r="G179" t="inlineStr">
        <is>
          <t>NORA</t>
        </is>
      </c>
      <c r="H179" t="inlineStr">
        <is>
          <t>Sveaskog</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19502-2026</t>
        </is>
      </c>
      <c r="B180" t="inlineStr">
        <is>
          <t>avverkningsanmälan</t>
        </is>
      </c>
      <c r="C180" t="inlineStr">
        <is>
          <t>Föryngringsavverkning</t>
        </is>
      </c>
      <c r="D180" s="1" t="n">
        <v>46134</v>
      </c>
      <c r="E180" s="1" t="n">
        <v>46221</v>
      </c>
      <c r="F180" t="inlineStr">
        <is>
          <t>ÖREBRO LÄN</t>
        </is>
      </c>
      <c r="G180" t="inlineStr">
        <is>
          <t>NORA</t>
        </is>
      </c>
      <c r="H180" t="inlineStr">
        <is>
          <t>Sveaskog</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19504-2026</t>
        </is>
      </c>
      <c r="B181" t="inlineStr">
        <is>
          <t>avverkningsanmälan</t>
        </is>
      </c>
      <c r="C181" t="inlineStr">
        <is>
          <t>Föryngringsavverkning</t>
        </is>
      </c>
      <c r="D181" s="1" t="n">
        <v>46134</v>
      </c>
      <c r="E181" s="1" t="n">
        <v>46221</v>
      </c>
      <c r="F181" t="inlineStr">
        <is>
          <t>ÖREBRO LÄN</t>
        </is>
      </c>
      <c r="G181" t="inlineStr">
        <is>
          <t>NORA</t>
        </is>
      </c>
      <c r="H181" t="inlineStr">
        <is>
          <t>Sveaskog</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19505-2026</t>
        </is>
      </c>
      <c r="B182" t="inlineStr">
        <is>
          <t>avverkningsanmälan</t>
        </is>
      </c>
      <c r="C182" t="inlineStr">
        <is>
          <t>Föryngringsavverkning</t>
        </is>
      </c>
      <c r="D182" s="1" t="n">
        <v>46134</v>
      </c>
      <c r="E182" s="1" t="n">
        <v>46221</v>
      </c>
      <c r="F182" t="inlineStr">
        <is>
          <t>ÖREBRO LÄN</t>
        </is>
      </c>
      <c r="G182" t="inlineStr">
        <is>
          <t>NORA</t>
        </is>
      </c>
      <c r="H182" t="inlineStr">
        <is>
          <t>Sveaskog</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19509-2026</t>
        </is>
      </c>
      <c r="B183" t="inlineStr">
        <is>
          <t>avverkningsanmälan</t>
        </is>
      </c>
      <c r="C183" t="inlineStr">
        <is>
          <t>Föryngringsavverkning</t>
        </is>
      </c>
      <c r="D183" s="1" t="n">
        <v>46134</v>
      </c>
      <c r="E183" s="1" t="n">
        <v>46221</v>
      </c>
      <c r="F183" t="inlineStr">
        <is>
          <t>ÖREBRO LÄN</t>
        </is>
      </c>
      <c r="G183" t="inlineStr">
        <is>
          <t>NORA</t>
        </is>
      </c>
      <c r="H183" t="inlineStr">
        <is>
          <t>Sveaskog</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19510-2026</t>
        </is>
      </c>
      <c r="B184" t="inlineStr">
        <is>
          <t>avverkningsanmälan</t>
        </is>
      </c>
      <c r="C184" t="inlineStr">
        <is>
          <t>Föryngringsavverkning</t>
        </is>
      </c>
      <c r="D184" s="1" t="n">
        <v>46134</v>
      </c>
      <c r="E184" s="1" t="n">
        <v>46221</v>
      </c>
      <c r="F184" t="inlineStr">
        <is>
          <t>ÖREBRO LÄN</t>
        </is>
      </c>
      <c r="G184" t="inlineStr">
        <is>
          <t>NORA</t>
        </is>
      </c>
      <c r="H184" t="inlineStr">
        <is>
          <t>Sveaskog</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19512-2026</t>
        </is>
      </c>
      <c r="B185" t="inlineStr">
        <is>
          <t>avverkningsanmälan</t>
        </is>
      </c>
      <c r="C185" t="inlineStr">
        <is>
          <t>Föryngringsavverkning</t>
        </is>
      </c>
      <c r="D185" s="1" t="n">
        <v>46134</v>
      </c>
      <c r="E185" s="1" t="n">
        <v>46221</v>
      </c>
      <c r="F185" t="inlineStr">
        <is>
          <t>ÖREBRO LÄN</t>
        </is>
      </c>
      <c r="G185" t="inlineStr">
        <is>
          <t>NORA</t>
        </is>
      </c>
      <c r="H185" t="inlineStr">
        <is>
          <t>Sveaskog</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19553-2026</t>
        </is>
      </c>
      <c r="B186" t="inlineStr">
        <is>
          <t>avverkningsanmälan</t>
        </is>
      </c>
      <c r="C186" t="inlineStr">
        <is>
          <t>Föryngringsavverkning</t>
        </is>
      </c>
      <c r="D186" s="1" t="n">
        <v>46134</v>
      </c>
      <c r="E186" s="1" t="n">
        <v>46221</v>
      </c>
      <c r="F186" t="inlineStr">
        <is>
          <t>ÖREBRO LÄN</t>
        </is>
      </c>
      <c r="G186" t="inlineStr">
        <is>
          <t>NORA</t>
        </is>
      </c>
      <c r="H186" t="inlineStr">
        <is>
          <t>Sveaskog</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73009-2021</t>
        </is>
      </c>
      <c r="B187" t="inlineStr">
        <is>
          <t>avverkningsanmälan</t>
        </is>
      </c>
      <c r="C187" t="inlineStr">
        <is>
          <t>Föryngringsavverkning</t>
        </is>
      </c>
      <c r="D187" s="1" t="n">
        <v>44550</v>
      </c>
      <c r="E187" s="1" t="n">
        <v>46221</v>
      </c>
      <c r="F187" t="inlineStr">
        <is>
          <t>ÖREBRO LÄN</t>
        </is>
      </c>
      <c r="G187" t="inlineStr">
        <is>
          <t>NORA</t>
        </is>
      </c>
      <c r="H187" t="inlineStr">
        <is>
          <t>Sveaskog</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40339-2024</t>
        </is>
      </c>
      <c r="B188" t="inlineStr">
        <is>
          <t>avverkningsanmälan</t>
        </is>
      </c>
      <c r="C188" t="inlineStr">
        <is>
          <t>Föryngringsavverkning</t>
        </is>
      </c>
      <c r="D188" s="1" t="n">
        <v>45555</v>
      </c>
      <c r="E188" s="1" t="n">
        <v>46221</v>
      </c>
      <c r="F188" t="inlineStr">
        <is>
          <t>ÖREBRO LÄN</t>
        </is>
      </c>
      <c r="G188" t="inlineStr">
        <is>
          <t>NORA</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43843-2023</t>
        </is>
      </c>
      <c r="B189" t="inlineStr">
        <is>
          <t>avverkningsanmälan</t>
        </is>
      </c>
      <c r="C189" t="inlineStr">
        <is>
          <t>Avverkning för annat ändamål</t>
        </is>
      </c>
      <c r="D189" s="1" t="n">
        <v>45187</v>
      </c>
      <c r="E189" s="1" t="n">
        <v>46221</v>
      </c>
      <c r="F189" t="inlineStr">
        <is>
          <t>ÖREBRO LÄN</t>
        </is>
      </c>
      <c r="G189" t="inlineStr">
        <is>
          <t>NORA</t>
        </is>
      </c>
      <c r="H189" t="inlineStr">
        <is>
          <t>Sveaskog</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37849-2023</t>
        </is>
      </c>
      <c r="B190" t="inlineStr">
        <is>
          <t>avverkningsanmälan</t>
        </is>
      </c>
      <c r="C190" t="inlineStr">
        <is>
          <t>Föryngringsavverkning</t>
        </is>
      </c>
      <c r="D190" s="1" t="n">
        <v>45158</v>
      </c>
      <c r="E190" s="1" t="n">
        <v>46221</v>
      </c>
      <c r="F190" t="inlineStr">
        <is>
          <t>ÖREBRO LÄN</t>
        </is>
      </c>
      <c r="G190" t="inlineStr">
        <is>
          <t>NORA</t>
        </is>
      </c>
      <c r="I190" t="n">
        <v>4.7</v>
      </c>
      <c r="J190" t="n">
        <v>0</v>
      </c>
      <c r="K190" t="n">
        <v>0</v>
      </c>
      <c r="L190" t="n">
        <v>0</v>
      </c>
      <c r="M190" t="n">
        <v>0</v>
      </c>
      <c r="N190" t="n">
        <v>0</v>
      </c>
      <c r="O190" t="n">
        <v>0</v>
      </c>
      <c r="P190" t="n">
        <v>0</v>
      </c>
      <c r="Q190" t="n">
        <v>0</v>
      </c>
      <c r="R190" t="n">
        <v>0</v>
      </c>
      <c r="S190" t="n">
        <v>0</v>
      </c>
      <c r="T190" t="n">
        <v>0</v>
      </c>
      <c r="U190" s="2" t="inlineStr"/>
    </row>
    <row r="191" ht="15" customHeight="1">
      <c r="A191" t="inlineStr">
        <is>
          <t>A 49959-2023</t>
        </is>
      </c>
      <c r="B191" t="inlineStr">
        <is>
          <t>avverkningsanmälan</t>
        </is>
      </c>
      <c r="C191" t="inlineStr">
        <is>
          <t>Föryngringsavverkning</t>
        </is>
      </c>
      <c r="D191" s="1" t="n">
        <v>45215</v>
      </c>
      <c r="E191" s="1" t="n">
        <v>46221</v>
      </c>
      <c r="F191" t="inlineStr">
        <is>
          <t>ÖREBRO LÄN</t>
        </is>
      </c>
      <c r="G191" t="inlineStr">
        <is>
          <t>NORA</t>
        </is>
      </c>
      <c r="I191" t="n">
        <v>4.1</v>
      </c>
      <c r="J191" t="n">
        <v>0</v>
      </c>
      <c r="K191" t="n">
        <v>0</v>
      </c>
      <c r="L191" t="n">
        <v>0</v>
      </c>
      <c r="M191" t="n">
        <v>0</v>
      </c>
      <c r="N191" t="n">
        <v>0</v>
      </c>
      <c r="O191" t="n">
        <v>0</v>
      </c>
      <c r="P191" t="n">
        <v>0</v>
      </c>
      <c r="Q191" t="n">
        <v>0</v>
      </c>
      <c r="R191" t="n">
        <v>0</v>
      </c>
      <c r="S191" t="n">
        <v>0</v>
      </c>
      <c r="T191" t="n">
        <v>0</v>
      </c>
      <c r="U191" s="2" t="inlineStr"/>
    </row>
    <row r="192" ht="15" customHeight="1">
      <c r="A192" t="inlineStr">
        <is>
          <t>A 36064-2023</t>
        </is>
      </c>
      <c r="B192" t="inlineStr">
        <is>
          <t>avverkningsanmälan</t>
        </is>
      </c>
      <c r="C192" t="inlineStr">
        <is>
          <t>Föryngringsavverkning</t>
        </is>
      </c>
      <c r="D192" s="1" t="n">
        <v>45149</v>
      </c>
      <c r="E192" s="1" t="n">
        <v>46221</v>
      </c>
      <c r="F192" t="inlineStr">
        <is>
          <t>ÖREBRO LÄN</t>
        </is>
      </c>
      <c r="G192" t="inlineStr">
        <is>
          <t>NORA</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46688-2023</t>
        </is>
      </c>
      <c r="B193" t="inlineStr">
        <is>
          <t>avverkningsanmälan</t>
        </is>
      </c>
      <c r="C193" t="inlineStr">
        <is>
          <t>Föryngringsavverkning</t>
        </is>
      </c>
      <c r="D193" s="1" t="n">
        <v>45198</v>
      </c>
      <c r="E193" s="1" t="n">
        <v>46221</v>
      </c>
      <c r="F193" t="inlineStr">
        <is>
          <t>ÖREBRO LÄN</t>
        </is>
      </c>
      <c r="G193" t="inlineStr">
        <is>
          <t>NORA</t>
        </is>
      </c>
      <c r="I193" t="n">
        <v>3.4</v>
      </c>
      <c r="J193" t="n">
        <v>0</v>
      </c>
      <c r="K193" t="n">
        <v>0</v>
      </c>
      <c r="L193" t="n">
        <v>0</v>
      </c>
      <c r="M193" t="n">
        <v>0</v>
      </c>
      <c r="N193" t="n">
        <v>0</v>
      </c>
      <c r="O193" t="n">
        <v>0</v>
      </c>
      <c r="P193" t="n">
        <v>0</v>
      </c>
      <c r="Q193" t="n">
        <v>0</v>
      </c>
      <c r="R193" t="n">
        <v>0</v>
      </c>
      <c r="S193" t="n">
        <v>0</v>
      </c>
      <c r="T193" t="n">
        <v>0</v>
      </c>
      <c r="U193" s="2" t="inlineStr"/>
    </row>
    <row r="194" ht="15" customHeight="1">
      <c r="A194" t="inlineStr">
        <is>
          <t>A 12183-2025</t>
        </is>
      </c>
      <c r="B194" t="inlineStr">
        <is>
          <t>avverkningsanmälan</t>
        </is>
      </c>
      <c r="C194" t="inlineStr">
        <is>
          <t>Föryngringsavverkning</t>
        </is>
      </c>
      <c r="D194" s="1" t="n">
        <v>45729</v>
      </c>
      <c r="E194" s="1" t="n">
        <v>46221</v>
      </c>
      <c r="F194" t="inlineStr">
        <is>
          <t>ÖREBRO LÄN</t>
        </is>
      </c>
      <c r="G194" t="inlineStr">
        <is>
          <t>NORA</t>
        </is>
      </c>
      <c r="I194" t="n">
        <v>3.4</v>
      </c>
      <c r="J194" t="n">
        <v>0</v>
      </c>
      <c r="K194" t="n">
        <v>0</v>
      </c>
      <c r="L194" t="n">
        <v>0</v>
      </c>
      <c r="M194" t="n">
        <v>0</v>
      </c>
      <c r="N194" t="n">
        <v>0</v>
      </c>
      <c r="O194" t="n">
        <v>0</v>
      </c>
      <c r="P194" t="n">
        <v>0</v>
      </c>
      <c r="Q194" t="n">
        <v>0</v>
      </c>
      <c r="R194" t="n">
        <v>0</v>
      </c>
      <c r="S194" t="n">
        <v>0</v>
      </c>
      <c r="T194" t="n">
        <v>0</v>
      </c>
      <c r="U194" s="2" t="inlineStr"/>
    </row>
    <row r="195" ht="15" customHeight="1">
      <c r="A195" t="inlineStr">
        <is>
          <t>A 9457-2025</t>
        </is>
      </c>
      <c r="B195" t="inlineStr">
        <is>
          <t>avverkningsanmälan</t>
        </is>
      </c>
      <c r="C195" t="inlineStr">
        <is>
          <t>Föryngringsavverkning</t>
        </is>
      </c>
      <c r="D195" s="1" t="n">
        <v>45714</v>
      </c>
      <c r="E195" s="1" t="n">
        <v>46221</v>
      </c>
      <c r="F195" t="inlineStr">
        <is>
          <t>ÖREBRO LÄN</t>
        </is>
      </c>
      <c r="G195" t="inlineStr">
        <is>
          <t>NORA</t>
        </is>
      </c>
      <c r="I195" t="n">
        <v>3</v>
      </c>
      <c r="J195" t="n">
        <v>0</v>
      </c>
      <c r="K195" t="n">
        <v>0</v>
      </c>
      <c r="L195" t="n">
        <v>0</v>
      </c>
      <c r="M195" t="n">
        <v>0</v>
      </c>
      <c r="N195" t="n">
        <v>0</v>
      </c>
      <c r="O195" t="n">
        <v>0</v>
      </c>
      <c r="P195" t="n">
        <v>0</v>
      </c>
      <c r="Q195" t="n">
        <v>0</v>
      </c>
      <c r="R195" t="n">
        <v>0</v>
      </c>
      <c r="S195" t="n">
        <v>0</v>
      </c>
      <c r="T195" t="n">
        <v>0</v>
      </c>
      <c r="U195" s="2" t="inlineStr"/>
    </row>
    <row r="196" ht="15" customHeight="1">
      <c r="A196" t="inlineStr">
        <is>
          <t>A 17770-2022</t>
        </is>
      </c>
      <c r="B196" t="inlineStr">
        <is>
          <t>avverkningsanmälan</t>
        </is>
      </c>
      <c r="C196" t="inlineStr">
        <is>
          <t>Föryngringsavverkning</t>
        </is>
      </c>
      <c r="D196" s="1" t="n">
        <v>44682</v>
      </c>
      <c r="E196" s="1" t="n">
        <v>46221</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35656-2024</t>
        </is>
      </c>
      <c r="B197" t="inlineStr">
        <is>
          <t>avverkningsanmälan</t>
        </is>
      </c>
      <c r="C197" t="inlineStr">
        <is>
          <t>Avverkning för annat ändamål</t>
        </is>
      </c>
      <c r="D197" s="1" t="n">
        <v>45532</v>
      </c>
      <c r="E197" s="1" t="n">
        <v>46221</v>
      </c>
      <c r="F197" t="inlineStr">
        <is>
          <t>ÖREBRO LÄN</t>
        </is>
      </c>
      <c r="G197" t="inlineStr">
        <is>
          <t>NORA</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39257-2023</t>
        </is>
      </c>
      <c r="B198" t="inlineStr">
        <is>
          <t>avverkningsanmälan</t>
        </is>
      </c>
      <c r="C198" t="inlineStr">
        <is>
          <t>Föryngringsavverkning</t>
        </is>
      </c>
      <c r="D198" s="1" t="n">
        <v>45166</v>
      </c>
      <c r="E198" s="1" t="n">
        <v>46221</v>
      </c>
      <c r="F198" t="inlineStr">
        <is>
          <t>ÖREBRO LÄN</t>
        </is>
      </c>
      <c r="G198" t="inlineStr">
        <is>
          <t>NORA</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24818-2024</t>
        </is>
      </c>
      <c r="B199" t="inlineStr">
        <is>
          <t>avverkningsanmälan</t>
        </is>
      </c>
      <c r="C199" t="inlineStr">
        <is>
          <t>Föryngringsavverkning</t>
        </is>
      </c>
      <c r="D199" s="1" t="n">
        <v>45461</v>
      </c>
      <c r="E199" s="1" t="n">
        <v>46221</v>
      </c>
      <c r="F199" t="inlineStr">
        <is>
          <t>ÖREBRO LÄN</t>
        </is>
      </c>
      <c r="G199" t="inlineStr">
        <is>
          <t>NORA</t>
        </is>
      </c>
      <c r="I199" t="n">
        <v>9</v>
      </c>
      <c r="J199" t="n">
        <v>0</v>
      </c>
      <c r="K199" t="n">
        <v>0</v>
      </c>
      <c r="L199" t="n">
        <v>0</v>
      </c>
      <c r="M199" t="n">
        <v>0</v>
      </c>
      <c r="N199" t="n">
        <v>0</v>
      </c>
      <c r="O199" t="n">
        <v>0</v>
      </c>
      <c r="P199" t="n">
        <v>0</v>
      </c>
      <c r="Q199" t="n">
        <v>0</v>
      </c>
      <c r="R199" t="n">
        <v>0</v>
      </c>
      <c r="S199" t="n">
        <v>0</v>
      </c>
      <c r="T199" t="n">
        <v>0</v>
      </c>
      <c r="U199" s="2" t="inlineStr"/>
    </row>
    <row r="200" ht="15" customHeight="1">
      <c r="A200" t="inlineStr">
        <is>
          <t>A 62217-2023</t>
        </is>
      </c>
      <c r="B200" t="inlineStr">
        <is>
          <t>avverkningsanmälan</t>
        </is>
      </c>
      <c r="C200" t="inlineStr">
        <is>
          <t>Föryngringsavverkning</t>
        </is>
      </c>
      <c r="D200" s="1" t="n">
        <v>45267</v>
      </c>
      <c r="E200" s="1" t="n">
        <v>46221</v>
      </c>
      <c r="F200" t="inlineStr">
        <is>
          <t>ÖREBRO LÄN</t>
        </is>
      </c>
      <c r="G200" t="inlineStr">
        <is>
          <t>NORA</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20565-2025</t>
        </is>
      </c>
      <c r="B201" t="inlineStr">
        <is>
          <t>avverkningsanmälan</t>
        </is>
      </c>
      <c r="C201" t="inlineStr">
        <is>
          <t>Avverkning för att bevara och utveckla /försöksver</t>
        </is>
      </c>
      <c r="D201" s="1" t="n">
        <v>45775</v>
      </c>
      <c r="E201" s="1" t="n">
        <v>46221</v>
      </c>
      <c r="F201" t="inlineStr">
        <is>
          <t>ÖREBRO LÄN</t>
        </is>
      </c>
      <c r="G201" t="inlineStr">
        <is>
          <t>NORA</t>
        </is>
      </c>
      <c r="H201" t="inlineStr">
        <is>
          <t>Sveaskog</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21262-2026</t>
        </is>
      </c>
      <c r="B202" t="inlineStr">
        <is>
          <t>avverkningsanmälan</t>
        </is>
      </c>
      <c r="C202" t="inlineStr">
        <is>
          <t>Föryngringsavverkning</t>
        </is>
      </c>
      <c r="D202" s="1" t="n">
        <v>46147</v>
      </c>
      <c r="E202" s="1" t="n">
        <v>46221</v>
      </c>
      <c r="F202" t="inlineStr">
        <is>
          <t>ÖREBRO LÄN</t>
        </is>
      </c>
      <c r="G202" t="inlineStr">
        <is>
          <t>NORA</t>
        </is>
      </c>
      <c r="H202" t="inlineStr">
        <is>
          <t>Sveaskog</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21271-2026</t>
        </is>
      </c>
      <c r="B203" t="inlineStr">
        <is>
          <t>avverkningsanmälan</t>
        </is>
      </c>
      <c r="C203" t="inlineStr">
        <is>
          <t>Föryngringsavverkning</t>
        </is>
      </c>
      <c r="D203" s="1" t="n">
        <v>46147</v>
      </c>
      <c r="E203" s="1" t="n">
        <v>46221</v>
      </c>
      <c r="F203" t="inlineStr">
        <is>
          <t>ÖREBRO LÄN</t>
        </is>
      </c>
      <c r="G203" t="inlineStr">
        <is>
          <t>NORA</t>
        </is>
      </c>
      <c r="H203" t="inlineStr">
        <is>
          <t>Sveaskog</t>
        </is>
      </c>
      <c r="I203" t="n">
        <v>4.8</v>
      </c>
      <c r="J203" t="n">
        <v>0</v>
      </c>
      <c r="K203" t="n">
        <v>0</v>
      </c>
      <c r="L203" t="n">
        <v>0</v>
      </c>
      <c r="M203" t="n">
        <v>0</v>
      </c>
      <c r="N203" t="n">
        <v>0</v>
      </c>
      <c r="O203" t="n">
        <v>0</v>
      </c>
      <c r="P203" t="n">
        <v>0</v>
      </c>
      <c r="Q203" t="n">
        <v>0</v>
      </c>
      <c r="R203" t="n">
        <v>0</v>
      </c>
      <c r="S203" t="n">
        <v>0</v>
      </c>
      <c r="T203" t="n">
        <v>0</v>
      </c>
      <c r="U203" s="2" t="inlineStr"/>
    </row>
    <row r="204" ht="15" customHeight="1">
      <c r="A204" t="inlineStr">
        <is>
          <t>A 62592-2021</t>
        </is>
      </c>
      <c r="B204" t="inlineStr">
        <is>
          <t>avverkningsanmälan</t>
        </is>
      </c>
      <c r="C204" t="inlineStr">
        <is>
          <t>Föryngringsavverkning</t>
        </is>
      </c>
      <c r="D204" s="1" t="n">
        <v>44503</v>
      </c>
      <c r="E204" s="1" t="n">
        <v>46221</v>
      </c>
      <c r="F204" t="inlineStr">
        <is>
          <t>ÖREBRO LÄN</t>
        </is>
      </c>
      <c r="G204" t="inlineStr">
        <is>
          <t>NORA</t>
        </is>
      </c>
      <c r="I204" t="n">
        <v>7.4</v>
      </c>
      <c r="J204" t="n">
        <v>0</v>
      </c>
      <c r="K204" t="n">
        <v>0</v>
      </c>
      <c r="L204" t="n">
        <v>0</v>
      </c>
      <c r="M204" t="n">
        <v>0</v>
      </c>
      <c r="N204" t="n">
        <v>0</v>
      </c>
      <c r="O204" t="n">
        <v>0</v>
      </c>
      <c r="P204" t="n">
        <v>0</v>
      </c>
      <c r="Q204" t="n">
        <v>0</v>
      </c>
      <c r="R204" t="n">
        <v>0</v>
      </c>
      <c r="S204" t="n">
        <v>0</v>
      </c>
      <c r="T204" t="n">
        <v>0</v>
      </c>
      <c r="U204" s="2" t="inlineStr"/>
    </row>
    <row r="205" ht="15" customHeight="1">
      <c r="A205" t="inlineStr">
        <is>
          <t>A 21256-2026</t>
        </is>
      </c>
      <c r="B205" t="inlineStr">
        <is>
          <t>avverkningsanmälan</t>
        </is>
      </c>
      <c r="C205" t="inlineStr">
        <is>
          <t>Föryngringsavverkning</t>
        </is>
      </c>
      <c r="D205" s="1" t="n">
        <v>46147</v>
      </c>
      <c r="E205" s="1" t="n">
        <v>46221</v>
      </c>
      <c r="F205" t="inlineStr">
        <is>
          <t>ÖREBRO LÄN</t>
        </is>
      </c>
      <c r="G205" t="inlineStr">
        <is>
          <t>NORA</t>
        </is>
      </c>
      <c r="H205" t="inlineStr">
        <is>
          <t>Sveaskog</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21270-2026</t>
        </is>
      </c>
      <c r="B206" t="inlineStr">
        <is>
          <t>avverkningsanmälan</t>
        </is>
      </c>
      <c r="C206" t="inlineStr">
        <is>
          <t>Föryngringsavverkning</t>
        </is>
      </c>
      <c r="D206" s="1" t="n">
        <v>46147</v>
      </c>
      <c r="E206" s="1" t="n">
        <v>46221</v>
      </c>
      <c r="F206" t="inlineStr">
        <is>
          <t>ÖREBRO LÄN</t>
        </is>
      </c>
      <c r="G206" t="inlineStr">
        <is>
          <t>NORA</t>
        </is>
      </c>
      <c r="H206" t="inlineStr">
        <is>
          <t>Sveaskog</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21276-2026</t>
        </is>
      </c>
      <c r="B207" t="inlineStr">
        <is>
          <t>avverkningsanmälan</t>
        </is>
      </c>
      <c r="C207" t="inlineStr">
        <is>
          <t>Föryngringsavverkning</t>
        </is>
      </c>
      <c r="D207" s="1" t="n">
        <v>46147</v>
      </c>
      <c r="E207" s="1" t="n">
        <v>46221</v>
      </c>
      <c r="F207" t="inlineStr">
        <is>
          <t>ÖREBRO LÄN</t>
        </is>
      </c>
      <c r="G207" t="inlineStr">
        <is>
          <t>NORA</t>
        </is>
      </c>
      <c r="H207" t="inlineStr">
        <is>
          <t>Sveaskog</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16957-2025</t>
        </is>
      </c>
      <c r="B208" t="inlineStr">
        <is>
          <t>avverkningsanmälan</t>
        </is>
      </c>
      <c r="C208" t="inlineStr">
        <is>
          <t>Föryngringsavverkning</t>
        </is>
      </c>
      <c r="D208" s="1" t="n">
        <v>45755</v>
      </c>
      <c r="E208" s="1" t="n">
        <v>46221</v>
      </c>
      <c r="F208" t="inlineStr">
        <is>
          <t>ÖREBRO LÄN</t>
        </is>
      </c>
      <c r="G208" t="inlineStr">
        <is>
          <t>NORA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26023-2023</t>
        </is>
      </c>
      <c r="B209" t="inlineStr">
        <is>
          <t>avverkningsanmälan</t>
        </is>
      </c>
      <c r="C209" t="inlineStr">
        <is>
          <t>Föryngringsavverkning</t>
        </is>
      </c>
      <c r="D209" s="1" t="n">
        <v>45091</v>
      </c>
      <c r="E209" s="1" t="n">
        <v>46221</v>
      </c>
      <c r="F209" t="inlineStr">
        <is>
          <t>ÖREBRO LÄN</t>
        </is>
      </c>
      <c r="G209" t="inlineStr">
        <is>
          <t>NORA</t>
        </is>
      </c>
      <c r="H209" t="inlineStr">
        <is>
          <t>Kyrkan</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57316-2022</t>
        </is>
      </c>
      <c r="B210" t="inlineStr">
        <is>
          <t>avverkningsanmälan</t>
        </is>
      </c>
      <c r="C210" t="inlineStr">
        <is>
          <t>Föryngringsavverkning</t>
        </is>
      </c>
      <c r="D210" s="1" t="n">
        <v>44896</v>
      </c>
      <c r="E210" s="1" t="n">
        <v>46221</v>
      </c>
      <c r="F210" t="inlineStr">
        <is>
          <t>ÖREBRO LÄN</t>
        </is>
      </c>
      <c r="G210" t="inlineStr">
        <is>
          <t>NORA</t>
        </is>
      </c>
      <c r="H210" t="inlineStr">
        <is>
          <t>Sveaskog</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48610-2023</t>
        </is>
      </c>
      <c r="B211" t="inlineStr">
        <is>
          <t>avverkningsanmälan</t>
        </is>
      </c>
      <c r="C211" t="inlineStr">
        <is>
          <t>Föryngringsavverkning</t>
        </is>
      </c>
      <c r="D211" s="1" t="n">
        <v>45208</v>
      </c>
      <c r="E211" s="1" t="n">
        <v>46221</v>
      </c>
      <c r="F211" t="inlineStr">
        <is>
          <t>ÖREBRO LÄN</t>
        </is>
      </c>
      <c r="G211" t="inlineStr">
        <is>
          <t>NORA</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49676-2025</t>
        </is>
      </c>
      <c r="B212" t="inlineStr">
        <is>
          <t>avverkningsanmälan</t>
        </is>
      </c>
      <c r="C212" t="inlineStr">
        <is>
          <t>Avverkning för annat ändamål</t>
        </is>
      </c>
      <c r="D212" s="1" t="n">
        <v>45939</v>
      </c>
      <c r="E212" s="1" t="n">
        <v>46221</v>
      </c>
      <c r="F212" t="inlineStr">
        <is>
          <t>ÖREBRO LÄN</t>
        </is>
      </c>
      <c r="G212" t="inlineStr">
        <is>
          <t>NORA</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24832-2024</t>
        </is>
      </c>
      <c r="B213" t="inlineStr">
        <is>
          <t>avverkningsanmälan</t>
        </is>
      </c>
      <c r="C213" t="inlineStr">
        <is>
          <t>Föryngringsavverkning</t>
        </is>
      </c>
      <c r="D213" s="1" t="n">
        <v>45461</v>
      </c>
      <c r="E213" s="1" t="n">
        <v>46221</v>
      </c>
      <c r="F213" t="inlineStr">
        <is>
          <t>ÖREBRO LÄN</t>
        </is>
      </c>
      <c r="G213" t="inlineStr">
        <is>
          <t>NORA</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22266-2026</t>
        </is>
      </c>
      <c r="B214" t="inlineStr">
        <is>
          <t>avverkningsanmälan</t>
        </is>
      </c>
      <c r="C214" t="inlineStr">
        <is>
          <t>Föryngringsavverkning</t>
        </is>
      </c>
      <c r="D214" s="1" t="n">
        <v>46154</v>
      </c>
      <c r="E214" s="1" t="n">
        <v>46221</v>
      </c>
      <c r="F214" t="inlineStr">
        <is>
          <t>ÖREBRO LÄN</t>
        </is>
      </c>
      <c r="G214" t="inlineStr">
        <is>
          <t>NORA</t>
        </is>
      </c>
      <c r="H214" t="inlineStr">
        <is>
          <t>Sveaskog</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22480-2026</t>
        </is>
      </c>
      <c r="B215" t="inlineStr">
        <is>
          <t>avverkningsanmälan</t>
        </is>
      </c>
      <c r="C215" t="inlineStr">
        <is>
          <t>Föryngringsavverkning</t>
        </is>
      </c>
      <c r="D215" s="1" t="n">
        <v>46155</v>
      </c>
      <c r="E215" s="1" t="n">
        <v>46221</v>
      </c>
      <c r="F215" t="inlineStr">
        <is>
          <t>ÖREBRO LÄN</t>
        </is>
      </c>
      <c r="G215" t="inlineStr">
        <is>
          <t>NORA</t>
        </is>
      </c>
      <c r="H215" t="inlineStr">
        <is>
          <t>Sveaskog</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34759-2024</t>
        </is>
      </c>
      <c r="B216" t="inlineStr">
        <is>
          <t>avverkningsanmälan</t>
        </is>
      </c>
      <c r="C216" t="inlineStr">
        <is>
          <t>Föryngringsavverkning</t>
        </is>
      </c>
      <c r="D216" s="1" t="n">
        <v>45526</v>
      </c>
      <c r="E216" s="1" t="n">
        <v>46221</v>
      </c>
      <c r="F216" t="inlineStr">
        <is>
          <t>ÖREBRO LÄN</t>
        </is>
      </c>
      <c r="G216" t="inlineStr">
        <is>
          <t>NORA</t>
        </is>
      </c>
      <c r="H216" t="inlineStr">
        <is>
          <t>Övriga Aktiebolag</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22476-2026</t>
        </is>
      </c>
      <c r="B217" t="inlineStr">
        <is>
          <t>avverkningsanmälan</t>
        </is>
      </c>
      <c r="C217" t="inlineStr">
        <is>
          <t>Föryngringsavverkning</t>
        </is>
      </c>
      <c r="D217" s="1" t="n">
        <v>46155</v>
      </c>
      <c r="E217" s="1" t="n">
        <v>46221</v>
      </c>
      <c r="F217" t="inlineStr">
        <is>
          <t>ÖREBRO LÄN</t>
        </is>
      </c>
      <c r="G217" t="inlineStr">
        <is>
          <t>NORA</t>
        </is>
      </c>
      <c r="H217" t="inlineStr">
        <is>
          <t>Sveaskog</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22485-2026</t>
        </is>
      </c>
      <c r="B218" t="inlineStr">
        <is>
          <t>avverkningsanmälan</t>
        </is>
      </c>
      <c r="C218" t="inlineStr">
        <is>
          <t>Föryngringsavverkning</t>
        </is>
      </c>
      <c r="D218" s="1" t="n">
        <v>46155</v>
      </c>
      <c r="E218" s="1" t="n">
        <v>46221</v>
      </c>
      <c r="F218" t="inlineStr">
        <is>
          <t>ÖREBRO LÄN</t>
        </is>
      </c>
      <c r="G218" t="inlineStr">
        <is>
          <t>NORA</t>
        </is>
      </c>
      <c r="H218" t="inlineStr">
        <is>
          <t>Sveaskog</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41669-2021</t>
        </is>
      </c>
      <c r="B219" t="inlineStr">
        <is>
          <t>avverkningsanmälan</t>
        </is>
      </c>
      <c r="C219" t="inlineStr">
        <is>
          <t>Föryngringsavverkning</t>
        </is>
      </c>
      <c r="D219" s="1" t="n">
        <v>44425</v>
      </c>
      <c r="E219" s="1" t="n">
        <v>46221</v>
      </c>
      <c r="F219" t="inlineStr">
        <is>
          <t>ÖREBRO LÄN</t>
        </is>
      </c>
      <c r="G219" t="inlineStr">
        <is>
          <t>NORA</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34164-2022</t>
        </is>
      </c>
      <c r="B220" t="inlineStr">
        <is>
          <t>avverkningsanmälan</t>
        </is>
      </c>
      <c r="C220" t="inlineStr">
        <is>
          <t>Föryngringsavverkning</t>
        </is>
      </c>
      <c r="D220" s="1" t="n">
        <v>44791</v>
      </c>
      <c r="E220" s="1" t="n">
        <v>46221</v>
      </c>
      <c r="F220" t="inlineStr">
        <is>
          <t>ÖREBRO LÄN</t>
        </is>
      </c>
      <c r="G220" t="inlineStr">
        <is>
          <t>NORA</t>
        </is>
      </c>
      <c r="H220" t="inlineStr">
        <is>
          <t>Sveaskog</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47030-2025</t>
        </is>
      </c>
      <c r="B221" t="inlineStr">
        <is>
          <t>avverkningsanmälan</t>
        </is>
      </c>
      <c r="C221" t="inlineStr">
        <is>
          <t>Föryngringsavverkning</t>
        </is>
      </c>
      <c r="D221" s="1" t="n">
        <v>45929</v>
      </c>
      <c r="E221" s="1" t="n">
        <v>46221</v>
      </c>
      <c r="F221" t="inlineStr">
        <is>
          <t>ÖREBRO LÄN</t>
        </is>
      </c>
      <c r="G221" t="inlineStr">
        <is>
          <t>NORA</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22474-2026</t>
        </is>
      </c>
      <c r="B222" t="inlineStr">
        <is>
          <t>avverkningsanmälan</t>
        </is>
      </c>
      <c r="C222" t="inlineStr">
        <is>
          <t>Föryngringsavverkning</t>
        </is>
      </c>
      <c r="D222" s="1" t="n">
        <v>46155</v>
      </c>
      <c r="E222" s="1" t="n">
        <v>46221</v>
      </c>
      <c r="F222" t="inlineStr">
        <is>
          <t>ÖREBRO LÄN</t>
        </is>
      </c>
      <c r="G222" t="inlineStr">
        <is>
          <t>NORA</t>
        </is>
      </c>
      <c r="H222" t="inlineStr">
        <is>
          <t>Sveaskog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22478-2026</t>
        </is>
      </c>
      <c r="B223" t="inlineStr">
        <is>
          <t>avverkningsanmälan</t>
        </is>
      </c>
      <c r="C223" t="inlineStr">
        <is>
          <t>Föryngringsavverkning</t>
        </is>
      </c>
      <c r="D223" s="1" t="n">
        <v>46155</v>
      </c>
      <c r="E223" s="1" t="n">
        <v>46221</v>
      </c>
      <c r="F223" t="inlineStr">
        <is>
          <t>ÖREBRO LÄN</t>
        </is>
      </c>
      <c r="G223" t="inlineStr">
        <is>
          <t>NORA</t>
        </is>
      </c>
      <c r="H223" t="inlineStr">
        <is>
          <t>Sveaskog</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22481-2026</t>
        </is>
      </c>
      <c r="B224" t="inlineStr">
        <is>
          <t>avverkningsanmälan</t>
        </is>
      </c>
      <c r="C224" t="inlineStr">
        <is>
          <t>Föryngringsavverkning</t>
        </is>
      </c>
      <c r="D224" s="1" t="n">
        <v>46155</v>
      </c>
      <c r="E224" s="1" t="n">
        <v>46221</v>
      </c>
      <c r="F224" t="inlineStr">
        <is>
          <t>ÖREBRO LÄN</t>
        </is>
      </c>
      <c r="G224" t="inlineStr">
        <is>
          <t>NORA</t>
        </is>
      </c>
      <c r="H224" t="inlineStr">
        <is>
          <t>Sveaskog</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29081-2026</t>
        </is>
      </c>
      <c r="B225" t="inlineStr">
        <is>
          <t>avverkningsanmälan</t>
        </is>
      </c>
      <c r="C225" t="inlineStr">
        <is>
          <t>Föryngringsavverkning</t>
        </is>
      </c>
      <c r="D225" s="1" t="n">
        <v>46199</v>
      </c>
      <c r="E225" s="1" t="n">
        <v>46221</v>
      </c>
      <c r="F225" t="inlineStr">
        <is>
          <t>ÖREBRO LÄN</t>
        </is>
      </c>
      <c r="G225" t="inlineStr">
        <is>
          <t>NORA</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52379-2023</t>
        </is>
      </c>
      <c r="B226" t="inlineStr">
        <is>
          <t>avverkningsanmälan</t>
        </is>
      </c>
      <c r="C226" t="inlineStr">
        <is>
          <t>Föryngringsavverkning</t>
        </is>
      </c>
      <c r="D226" s="1" t="n">
        <v>45224</v>
      </c>
      <c r="E226" s="1" t="n">
        <v>46221</v>
      </c>
      <c r="F226" t="inlineStr">
        <is>
          <t>ÖREBRO LÄN</t>
        </is>
      </c>
      <c r="G226" t="inlineStr">
        <is>
          <t>NORA</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5674-2023</t>
        </is>
      </c>
      <c r="B227" t="inlineStr">
        <is>
          <t>avverkningsanmälan</t>
        </is>
      </c>
      <c r="C227" t="inlineStr">
        <is>
          <t>Föryngringsavverkning</t>
        </is>
      </c>
      <c r="D227" s="1" t="n">
        <v>44960</v>
      </c>
      <c r="E227" s="1" t="n">
        <v>46221</v>
      </c>
      <c r="F227" t="inlineStr">
        <is>
          <t>ÖREBRO LÄN</t>
        </is>
      </c>
      <c r="G227" t="inlineStr">
        <is>
          <t>NORA</t>
        </is>
      </c>
      <c r="H227" t="inlineStr">
        <is>
          <t>Kyrkan</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35675-2023</t>
        </is>
      </c>
      <c r="B228" t="inlineStr">
        <is>
          <t>avverkningsanmälan</t>
        </is>
      </c>
      <c r="C228" t="inlineStr">
        <is>
          <t>Föryngringsavverkning</t>
        </is>
      </c>
      <c r="D228" s="1" t="n">
        <v>45147</v>
      </c>
      <c r="E228" s="1" t="n">
        <v>46221</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24821-2024</t>
        </is>
      </c>
      <c r="B229" t="inlineStr">
        <is>
          <t>avverkningsanmälan</t>
        </is>
      </c>
      <c r="C229" t="inlineStr">
        <is>
          <t>Föryngringsavverkning</t>
        </is>
      </c>
      <c r="D229" s="1" t="n">
        <v>45461</v>
      </c>
      <c r="E229" s="1" t="n">
        <v>46221</v>
      </c>
      <c r="F229" t="inlineStr">
        <is>
          <t>ÖREBRO LÄN</t>
        </is>
      </c>
      <c r="G229" t="inlineStr">
        <is>
          <t>NORA</t>
        </is>
      </c>
      <c r="I229" t="n">
        <v>12.2</v>
      </c>
      <c r="J229" t="n">
        <v>0</v>
      </c>
      <c r="K229" t="n">
        <v>0</v>
      </c>
      <c r="L229" t="n">
        <v>0</v>
      </c>
      <c r="M229" t="n">
        <v>0</v>
      </c>
      <c r="N229" t="n">
        <v>0</v>
      </c>
      <c r="O229" t="n">
        <v>0</v>
      </c>
      <c r="P229" t="n">
        <v>0</v>
      </c>
      <c r="Q229" t="n">
        <v>0</v>
      </c>
      <c r="R229" t="n">
        <v>0</v>
      </c>
      <c r="S229" t="n">
        <v>0</v>
      </c>
      <c r="T229" t="n">
        <v>0</v>
      </c>
      <c r="U229" s="2" t="inlineStr"/>
    </row>
    <row r="230" ht="15" customHeight="1">
      <c r="A230" t="inlineStr">
        <is>
          <t>A 61952-2023</t>
        </is>
      </c>
      <c r="B230" t="inlineStr">
        <is>
          <t>avverkningsanmälan</t>
        </is>
      </c>
      <c r="C230" t="inlineStr">
        <is>
          <t>Föryngringsavverkning</t>
        </is>
      </c>
      <c r="D230" s="1" t="n">
        <v>45266</v>
      </c>
      <c r="E230" s="1" t="n">
        <v>46221</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17352-2024</t>
        </is>
      </c>
      <c r="B231" t="inlineStr">
        <is>
          <t>avverkningsanmälan</t>
        </is>
      </c>
      <c r="C231" t="inlineStr">
        <is>
          <t>Föryngringsavverkning</t>
        </is>
      </c>
      <c r="D231" s="1" t="n">
        <v>45414</v>
      </c>
      <c r="E231" s="1" t="n">
        <v>46221</v>
      </c>
      <c r="F231" t="inlineStr">
        <is>
          <t>ÖREBRO LÄN</t>
        </is>
      </c>
      <c r="G231" t="inlineStr">
        <is>
          <t>NORA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59607-2024</t>
        </is>
      </c>
      <c r="B232" t="inlineStr">
        <is>
          <t>avverkningsanmälan</t>
        </is>
      </c>
      <c r="C232" t="inlineStr">
        <is>
          <t>Föryngringsavverkning</t>
        </is>
      </c>
      <c r="D232" s="1" t="n">
        <v>45638</v>
      </c>
      <c r="E232" s="1" t="n">
        <v>46221</v>
      </c>
      <c r="F232" t="inlineStr">
        <is>
          <t>ÖREBRO LÄN</t>
        </is>
      </c>
      <c r="G232" t="inlineStr">
        <is>
          <t>NORA</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4977-2023</t>
        </is>
      </c>
      <c r="B233" t="inlineStr">
        <is>
          <t>avverkningsanmälan</t>
        </is>
      </c>
      <c r="C233" t="inlineStr">
        <is>
          <t>Föryngringsavverkning</t>
        </is>
      </c>
      <c r="D233" s="1" t="n">
        <v>44958</v>
      </c>
      <c r="E233" s="1" t="n">
        <v>46221</v>
      </c>
      <c r="F233" t="inlineStr">
        <is>
          <t>ÖREBRO LÄN</t>
        </is>
      </c>
      <c r="G233" t="inlineStr">
        <is>
          <t>NORA</t>
        </is>
      </c>
      <c r="I233" t="n">
        <v>4.4</v>
      </c>
      <c r="J233" t="n">
        <v>0</v>
      </c>
      <c r="K233" t="n">
        <v>0</v>
      </c>
      <c r="L233" t="n">
        <v>0</v>
      </c>
      <c r="M233" t="n">
        <v>0</v>
      </c>
      <c r="N233" t="n">
        <v>0</v>
      </c>
      <c r="O233" t="n">
        <v>0</v>
      </c>
      <c r="P233" t="n">
        <v>0</v>
      </c>
      <c r="Q233" t="n">
        <v>0</v>
      </c>
      <c r="R233" t="n">
        <v>0</v>
      </c>
      <c r="S233" t="n">
        <v>0</v>
      </c>
      <c r="T233" t="n">
        <v>0</v>
      </c>
      <c r="U233" s="2" t="inlineStr"/>
    </row>
    <row r="234" ht="15" customHeight="1">
      <c r="A234" t="inlineStr">
        <is>
          <t>A 30690-2026</t>
        </is>
      </c>
      <c r="B234" t="inlineStr">
        <is>
          <t>avverkningsanmälan</t>
        </is>
      </c>
      <c r="C234" t="inlineStr">
        <is>
          <t>Föryngringsavverkning</t>
        </is>
      </c>
      <c r="D234" s="1" t="n">
        <v>46211</v>
      </c>
      <c r="E234" s="1" t="n">
        <v>46221</v>
      </c>
      <c r="F234" t="inlineStr">
        <is>
          <t>ÖREBRO LÄN</t>
        </is>
      </c>
      <c r="G234" t="inlineStr">
        <is>
          <t>NORA</t>
        </is>
      </c>
      <c r="I234" t="n">
        <v>4.7</v>
      </c>
      <c r="J234" t="n">
        <v>0</v>
      </c>
      <c r="K234" t="n">
        <v>0</v>
      </c>
      <c r="L234" t="n">
        <v>0</v>
      </c>
      <c r="M234" t="n">
        <v>0</v>
      </c>
      <c r="N234" t="n">
        <v>0</v>
      </c>
      <c r="O234" t="n">
        <v>0</v>
      </c>
      <c r="P234" t="n">
        <v>0</v>
      </c>
      <c r="Q234" t="n">
        <v>0</v>
      </c>
      <c r="R234" t="n">
        <v>0</v>
      </c>
      <c r="S234" t="n">
        <v>0</v>
      </c>
      <c r="T234" t="n">
        <v>0</v>
      </c>
      <c r="U234" s="2" t="inlineStr"/>
    </row>
    <row r="235" ht="15" customHeight="1">
      <c r="A235" t="inlineStr">
        <is>
          <t>A 30649-2026</t>
        </is>
      </c>
      <c r="B235" t="inlineStr">
        <is>
          <t>avverkningsanmälan</t>
        </is>
      </c>
      <c r="C235" t="inlineStr">
        <is>
          <t>Föryngringsavverkning</t>
        </is>
      </c>
      <c r="D235" s="1" t="n">
        <v>46211</v>
      </c>
      <c r="E235" s="1" t="n">
        <v>46221</v>
      </c>
      <c r="F235" t="inlineStr">
        <is>
          <t>ÖREBRO LÄN</t>
        </is>
      </c>
      <c r="G235" t="inlineStr">
        <is>
          <t>NORA</t>
        </is>
      </c>
      <c r="I235" t="n">
        <v>7.3</v>
      </c>
      <c r="J235" t="n">
        <v>0</v>
      </c>
      <c r="K235" t="n">
        <v>0</v>
      </c>
      <c r="L235" t="n">
        <v>0</v>
      </c>
      <c r="M235" t="n">
        <v>0</v>
      </c>
      <c r="N235" t="n">
        <v>0</v>
      </c>
      <c r="O235" t="n">
        <v>0</v>
      </c>
      <c r="P235" t="n">
        <v>0</v>
      </c>
      <c r="Q235" t="n">
        <v>0</v>
      </c>
      <c r="R235" t="n">
        <v>0</v>
      </c>
      <c r="S235" t="n">
        <v>0</v>
      </c>
      <c r="T235" t="n">
        <v>0</v>
      </c>
      <c r="U235" s="2" t="inlineStr"/>
    </row>
    <row r="236" ht="15" customHeight="1">
      <c r="A236" t="inlineStr">
        <is>
          <t>A 33887-2024</t>
        </is>
      </c>
      <c r="B236" t="inlineStr">
        <is>
          <t>avverkningsanmälan</t>
        </is>
      </c>
      <c r="C236" t="inlineStr">
        <is>
          <t>Föryngringsavverkning</t>
        </is>
      </c>
      <c r="D236" s="1" t="n">
        <v>45523</v>
      </c>
      <c r="E236" s="1" t="n">
        <v>46221</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30648-2026</t>
        </is>
      </c>
      <c r="B237" t="inlineStr">
        <is>
          <t>avverkningsanmälan</t>
        </is>
      </c>
      <c r="C237" t="inlineStr">
        <is>
          <t>Föryngringsavverkning</t>
        </is>
      </c>
      <c r="D237" s="1" t="n">
        <v>46211</v>
      </c>
      <c r="E237" s="1" t="n">
        <v>46221</v>
      </c>
      <c r="F237" t="inlineStr">
        <is>
          <t>ÖREBRO LÄN</t>
        </is>
      </c>
      <c r="G237" t="inlineStr">
        <is>
          <t>NORA</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46410-2021</t>
        </is>
      </c>
      <c r="B238" t="inlineStr">
        <is>
          <t>avverkningsanmälan</t>
        </is>
      </c>
      <c r="C238" t="inlineStr">
        <is>
          <t>Föryngringsavverkning</t>
        </is>
      </c>
      <c r="D238" s="1" t="n">
        <v>44444</v>
      </c>
      <c r="E238" s="1" t="n">
        <v>46221</v>
      </c>
      <c r="F238" t="inlineStr">
        <is>
          <t>ÖREBRO LÄN</t>
        </is>
      </c>
      <c r="G238" t="inlineStr">
        <is>
          <t>NORA</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30655-2026</t>
        </is>
      </c>
      <c r="B239" t="inlineStr">
        <is>
          <t>avverkningsanmälan</t>
        </is>
      </c>
      <c r="C239" t="inlineStr">
        <is>
          <t>Föryngringsavverkning</t>
        </is>
      </c>
      <c r="D239" s="1" t="n">
        <v>46211</v>
      </c>
      <c r="E239" s="1" t="n">
        <v>46221</v>
      </c>
      <c r="F239" t="inlineStr">
        <is>
          <t>ÖREBRO LÄN</t>
        </is>
      </c>
      <c r="G239" t="inlineStr">
        <is>
          <t>NORA</t>
        </is>
      </c>
      <c r="I239" t="n">
        <v>2.4</v>
      </c>
      <c r="J239" t="n">
        <v>0</v>
      </c>
      <c r="K239" t="n">
        <v>0</v>
      </c>
      <c r="L239" t="n">
        <v>0</v>
      </c>
      <c r="M239" t="n">
        <v>0</v>
      </c>
      <c r="N239" t="n">
        <v>0</v>
      </c>
      <c r="O239" t="n">
        <v>0</v>
      </c>
      <c r="P239" t="n">
        <v>0</v>
      </c>
      <c r="Q239" t="n">
        <v>0</v>
      </c>
      <c r="R239" t="n">
        <v>0</v>
      </c>
      <c r="S239" t="n">
        <v>0</v>
      </c>
      <c r="T239" t="n">
        <v>0</v>
      </c>
      <c r="U239" s="2" t="inlineStr"/>
    </row>
    <row r="240" ht="15" customHeight="1">
      <c r="A240" t="inlineStr">
        <is>
          <t>A 29112-2023</t>
        </is>
      </c>
      <c r="B240" t="inlineStr">
        <is>
          <t>avverkningsanmälan</t>
        </is>
      </c>
      <c r="C240" t="inlineStr">
        <is>
          <t>Föryngringsavverkning</t>
        </is>
      </c>
      <c r="D240" s="1" t="n">
        <v>45105</v>
      </c>
      <c r="E240" s="1" t="n">
        <v>46221</v>
      </c>
      <c r="F240" t="inlineStr">
        <is>
          <t>ÖREBRO LÄN</t>
        </is>
      </c>
      <c r="G240" t="inlineStr">
        <is>
          <t>NORA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24822-2024</t>
        </is>
      </c>
      <c r="B241" t="inlineStr">
        <is>
          <t>avverkningsanmälan</t>
        </is>
      </c>
      <c r="C241" t="inlineStr">
        <is>
          <t>Föryngringsavverkning</t>
        </is>
      </c>
      <c r="D241" s="1" t="n">
        <v>45461</v>
      </c>
      <c r="E241" s="1" t="n">
        <v>46221</v>
      </c>
      <c r="F241" t="inlineStr">
        <is>
          <t>ÖREBRO LÄN</t>
        </is>
      </c>
      <c r="G241" t="inlineStr">
        <is>
          <t>NORA</t>
        </is>
      </c>
      <c r="I241" t="n">
        <v>5.9</v>
      </c>
      <c r="J241" t="n">
        <v>0</v>
      </c>
      <c r="K241" t="n">
        <v>0</v>
      </c>
      <c r="L241" t="n">
        <v>0</v>
      </c>
      <c r="M241" t="n">
        <v>0</v>
      </c>
      <c r="N241" t="n">
        <v>0</v>
      </c>
      <c r="O241" t="n">
        <v>0</v>
      </c>
      <c r="P241" t="n">
        <v>0</v>
      </c>
      <c r="Q241" t="n">
        <v>0</v>
      </c>
      <c r="R241" t="n">
        <v>0</v>
      </c>
      <c r="S241" t="n">
        <v>0</v>
      </c>
      <c r="T241" t="n">
        <v>0</v>
      </c>
      <c r="U241" s="2" t="inlineStr"/>
    </row>
    <row r="242" ht="15" customHeight="1">
      <c r="A242" t="inlineStr">
        <is>
          <t>A 43919-2023</t>
        </is>
      </c>
      <c r="B242" t="inlineStr">
        <is>
          <t>avverkningsanmälan</t>
        </is>
      </c>
      <c r="C242" t="inlineStr">
        <is>
          <t>Föryngringsavverkning</t>
        </is>
      </c>
      <c r="D242" s="1" t="n">
        <v>45182</v>
      </c>
      <c r="E242" s="1" t="n">
        <v>46221</v>
      </c>
      <c r="F242" t="inlineStr">
        <is>
          <t>ÖREBRO LÄN</t>
        </is>
      </c>
      <c r="G242" t="inlineStr">
        <is>
          <t>NORA</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45229-2023</t>
        </is>
      </c>
      <c r="B243" t="inlineStr">
        <is>
          <t>avverkningsanmälan</t>
        </is>
      </c>
      <c r="C243" t="inlineStr">
        <is>
          <t>Föryngringsavverkning</t>
        </is>
      </c>
      <c r="D243" s="1" t="n">
        <v>45191</v>
      </c>
      <c r="E243" s="1" t="n">
        <v>46221</v>
      </c>
      <c r="F243" t="inlineStr">
        <is>
          <t>ÖREBRO LÄN</t>
        </is>
      </c>
      <c r="G243" t="inlineStr">
        <is>
          <t>NORA</t>
        </is>
      </c>
      <c r="I243" t="n">
        <v>5.2</v>
      </c>
      <c r="J243" t="n">
        <v>0</v>
      </c>
      <c r="K243" t="n">
        <v>0</v>
      </c>
      <c r="L243" t="n">
        <v>0</v>
      </c>
      <c r="M243" t="n">
        <v>0</v>
      </c>
      <c r="N243" t="n">
        <v>0</v>
      </c>
      <c r="O243" t="n">
        <v>0</v>
      </c>
      <c r="P243" t="n">
        <v>0</v>
      </c>
      <c r="Q243" t="n">
        <v>0</v>
      </c>
      <c r="R243" t="n">
        <v>0</v>
      </c>
      <c r="S243" t="n">
        <v>0</v>
      </c>
      <c r="T243" t="n">
        <v>0</v>
      </c>
      <c r="U243" s="2" t="inlineStr"/>
    </row>
    <row r="244" ht="15" customHeight="1">
      <c r="A244" t="inlineStr">
        <is>
          <t>A 60397-2022</t>
        </is>
      </c>
      <c r="B244" t="inlineStr">
        <is>
          <t>avverkningsanmälan</t>
        </is>
      </c>
      <c r="C244" t="inlineStr">
        <is>
          <t>Föryngringsavverkning</t>
        </is>
      </c>
      <c r="D244" s="1" t="n">
        <v>44910</v>
      </c>
      <c r="E244" s="1" t="n">
        <v>46221</v>
      </c>
      <c r="F244" t="inlineStr">
        <is>
          <t>ÖREBRO LÄN</t>
        </is>
      </c>
      <c r="G244" t="inlineStr">
        <is>
          <t>NORA</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11631-2022</t>
        </is>
      </c>
      <c r="B245" t="inlineStr">
        <is>
          <t>avverkningsanmälan</t>
        </is>
      </c>
      <c r="C245" t="inlineStr">
        <is>
          <t>Föryngringsavverkning</t>
        </is>
      </c>
      <c r="D245" s="1" t="n">
        <v>44631</v>
      </c>
      <c r="E245" s="1" t="n">
        <v>46221</v>
      </c>
      <c r="F245" t="inlineStr">
        <is>
          <t>ÖREBRO LÄN</t>
        </is>
      </c>
      <c r="G245" t="inlineStr">
        <is>
          <t>NORA</t>
        </is>
      </c>
      <c r="H245" t="inlineStr">
        <is>
          <t>Sveaskog</t>
        </is>
      </c>
      <c r="I245" t="n">
        <v>2.6</v>
      </c>
      <c r="J245" t="n">
        <v>0</v>
      </c>
      <c r="K245" t="n">
        <v>0</v>
      </c>
      <c r="L245" t="n">
        <v>0</v>
      </c>
      <c r="M245" t="n">
        <v>0</v>
      </c>
      <c r="N245" t="n">
        <v>0</v>
      </c>
      <c r="O245" t="n">
        <v>0</v>
      </c>
      <c r="P245" t="n">
        <v>0</v>
      </c>
      <c r="Q245" t="n">
        <v>0</v>
      </c>
      <c r="R245" t="n">
        <v>0</v>
      </c>
      <c r="S245" t="n">
        <v>0</v>
      </c>
      <c r="T245" t="n">
        <v>0</v>
      </c>
      <c r="U245" s="2" t="inlineStr"/>
    </row>
    <row r="246" ht="15" customHeight="1">
      <c r="A246" t="inlineStr">
        <is>
          <t>A 8936-2025</t>
        </is>
      </c>
      <c r="B246" t="inlineStr">
        <is>
          <t>avverkningsanmälan</t>
        </is>
      </c>
      <c r="C246" t="inlineStr">
        <is>
          <t>Föryngringsavverkning</t>
        </is>
      </c>
      <c r="D246" s="1" t="n">
        <v>45714</v>
      </c>
      <c r="E246" s="1" t="n">
        <v>46221</v>
      </c>
      <c r="F246" t="inlineStr">
        <is>
          <t>ÖREBRO LÄN</t>
        </is>
      </c>
      <c r="G246" t="inlineStr">
        <is>
          <t>NORA</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27767-2023</t>
        </is>
      </c>
      <c r="B247" t="inlineStr">
        <is>
          <t>avverkningsanmälan</t>
        </is>
      </c>
      <c r="C247" t="inlineStr">
        <is>
          <t>Föryngringsavverkning</t>
        </is>
      </c>
      <c r="D247" s="1" t="n">
        <v>45098</v>
      </c>
      <c r="E247" s="1" t="n">
        <v>46221</v>
      </c>
      <c r="F247" t="inlineStr">
        <is>
          <t>ÖREBRO LÄN</t>
        </is>
      </c>
      <c r="G247" t="inlineStr">
        <is>
          <t>NORA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13563-2024</t>
        </is>
      </c>
      <c r="B248" t="inlineStr">
        <is>
          <t>avverkningsanmälan</t>
        </is>
      </c>
      <c r="C248" t="inlineStr">
        <is>
          <t>Avverkning för att bevara och utveckla /försöksver</t>
        </is>
      </c>
      <c r="D248" s="1" t="n">
        <v>45388</v>
      </c>
      <c r="E248" s="1" t="n">
        <v>46221</v>
      </c>
      <c r="F248" t="inlineStr">
        <is>
          <t>ÖREBRO LÄN</t>
        </is>
      </c>
      <c r="G248" t="inlineStr">
        <is>
          <t>NORA</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64090-2023</t>
        </is>
      </c>
      <c r="B249" t="inlineStr">
        <is>
          <t>avverkningsanmälan</t>
        </is>
      </c>
      <c r="C249" t="inlineStr">
        <is>
          <t>Föryngringsavverkning</t>
        </is>
      </c>
      <c r="D249" s="1" t="n">
        <v>45279</v>
      </c>
      <c r="E249" s="1" t="n">
        <v>46221</v>
      </c>
      <c r="F249" t="inlineStr">
        <is>
          <t>ÖREBRO LÄN</t>
        </is>
      </c>
      <c r="G249" t="inlineStr">
        <is>
          <t>NORA</t>
        </is>
      </c>
      <c r="H249" t="inlineStr">
        <is>
          <t>Sveaskog</t>
        </is>
      </c>
      <c r="I249" t="n">
        <v>2.9</v>
      </c>
      <c r="J249" t="n">
        <v>0</v>
      </c>
      <c r="K249" t="n">
        <v>0</v>
      </c>
      <c r="L249" t="n">
        <v>0</v>
      </c>
      <c r="M249" t="n">
        <v>0</v>
      </c>
      <c r="N249" t="n">
        <v>0</v>
      </c>
      <c r="O249" t="n">
        <v>0</v>
      </c>
      <c r="P249" t="n">
        <v>0</v>
      </c>
      <c r="Q249" t="n">
        <v>0</v>
      </c>
      <c r="R249" t="n">
        <v>0</v>
      </c>
      <c r="S249" t="n">
        <v>0</v>
      </c>
      <c r="T249" t="n">
        <v>0</v>
      </c>
      <c r="U249" s="2" t="inlineStr"/>
    </row>
    <row r="250" ht="15" customHeight="1">
      <c r="A250" t="inlineStr">
        <is>
          <t>A 58829-2023</t>
        </is>
      </c>
      <c r="B250" t="inlineStr">
        <is>
          <t>avverkningsanmälan</t>
        </is>
      </c>
      <c r="C250" t="inlineStr">
        <is>
          <t>Föryngringsavverkning</t>
        </is>
      </c>
      <c r="D250" s="1" t="n">
        <v>45252</v>
      </c>
      <c r="E250" s="1" t="n">
        <v>46221</v>
      </c>
      <c r="F250" t="inlineStr">
        <is>
          <t>ÖREBRO LÄN</t>
        </is>
      </c>
      <c r="G250" t="inlineStr">
        <is>
          <t>NORA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59056-2024</t>
        </is>
      </c>
      <c r="B251" t="inlineStr">
        <is>
          <t>avverkningsanmälan</t>
        </is>
      </c>
      <c r="C251" t="inlineStr">
        <is>
          <t>Föryngringsavverkning</t>
        </is>
      </c>
      <c r="D251" s="1" t="n">
        <v>45636</v>
      </c>
      <c r="E251" s="1" t="n">
        <v>46221</v>
      </c>
      <c r="F251" t="inlineStr">
        <is>
          <t>ÖREBRO LÄN</t>
        </is>
      </c>
      <c r="G251" t="inlineStr">
        <is>
          <t>NORA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25486-2026</t>
        </is>
      </c>
      <c r="B252" t="inlineStr">
        <is>
          <t>avverkningsanmälan</t>
        </is>
      </c>
      <c r="C252" t="inlineStr">
        <is>
          <t>Föryngringsavverkning</t>
        </is>
      </c>
      <c r="D252" s="1" t="n">
        <v>46177</v>
      </c>
      <c r="E252" s="1" t="n">
        <v>46221</v>
      </c>
      <c r="F252" t="inlineStr">
        <is>
          <t>ÖREBRO LÄN</t>
        </is>
      </c>
      <c r="G252" t="inlineStr">
        <is>
          <t>NORA</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9754-2022</t>
        </is>
      </c>
      <c r="B253" t="inlineStr">
        <is>
          <t>avverkningsanmälan</t>
        </is>
      </c>
      <c r="C253" t="inlineStr">
        <is>
          <t>Föryngringsavverkning</t>
        </is>
      </c>
      <c r="D253" s="1" t="n">
        <v>44618</v>
      </c>
      <c r="E253" s="1" t="n">
        <v>46221</v>
      </c>
      <c r="F253" t="inlineStr">
        <is>
          <t>ÖREBRO LÄN</t>
        </is>
      </c>
      <c r="G253" t="inlineStr">
        <is>
          <t>NORA</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2413-2024</t>
        </is>
      </c>
      <c r="B254" t="inlineStr">
        <is>
          <t>avverkningsanmälan</t>
        </is>
      </c>
      <c r="C254" t="inlineStr">
        <is>
          <t>Föryngringsavverkning</t>
        </is>
      </c>
      <c r="D254" s="1" t="n">
        <v>45310</v>
      </c>
      <c r="E254" s="1" t="n">
        <v>46221</v>
      </c>
      <c r="F254" t="inlineStr">
        <is>
          <t>ÖREBRO LÄN</t>
        </is>
      </c>
      <c r="G254" t="inlineStr">
        <is>
          <t>NORA</t>
        </is>
      </c>
      <c r="I254" t="n">
        <v>4.6</v>
      </c>
      <c r="J254" t="n">
        <v>0</v>
      </c>
      <c r="K254" t="n">
        <v>0</v>
      </c>
      <c r="L254" t="n">
        <v>0</v>
      </c>
      <c r="M254" t="n">
        <v>0</v>
      </c>
      <c r="N254" t="n">
        <v>0</v>
      </c>
      <c r="O254" t="n">
        <v>0</v>
      </c>
      <c r="P254" t="n">
        <v>0</v>
      </c>
      <c r="Q254" t="n">
        <v>0</v>
      </c>
      <c r="R254" t="n">
        <v>0</v>
      </c>
      <c r="S254" t="n">
        <v>0</v>
      </c>
      <c r="T254" t="n">
        <v>0</v>
      </c>
      <c r="U254" s="2" t="inlineStr"/>
    </row>
    <row r="255" ht="15" customHeight="1">
      <c r="A255" t="inlineStr">
        <is>
          <t>A 16281-2024</t>
        </is>
      </c>
      <c r="B255" t="inlineStr">
        <is>
          <t>avverkningsanmälan</t>
        </is>
      </c>
      <c r="C255" t="inlineStr">
        <is>
          <t>Föryngringsavverkning</t>
        </is>
      </c>
      <c r="D255" s="1" t="n">
        <v>45407</v>
      </c>
      <c r="E255" s="1" t="n">
        <v>46221</v>
      </c>
      <c r="F255" t="inlineStr">
        <is>
          <t>ÖREBRO LÄN</t>
        </is>
      </c>
      <c r="G255" t="inlineStr">
        <is>
          <t>NORA</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1566-2025</t>
        </is>
      </c>
      <c r="B256" t="inlineStr">
        <is>
          <t>avverkningsanmälan</t>
        </is>
      </c>
      <c r="C256" t="inlineStr">
        <is>
          <t>Föryngringsavverkning</t>
        </is>
      </c>
      <c r="D256" s="1" t="n">
        <v>45670</v>
      </c>
      <c r="E256" s="1" t="n">
        <v>46221</v>
      </c>
      <c r="F256" t="inlineStr">
        <is>
          <t>ÖREBRO LÄN</t>
        </is>
      </c>
      <c r="G256" t="inlineStr">
        <is>
          <t>NORA</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54604-2024</t>
        </is>
      </c>
      <c r="B257" t="inlineStr">
        <is>
          <t>avverkningsanmälan</t>
        </is>
      </c>
      <c r="C257" t="inlineStr">
        <is>
          <t>Föryngringsavverkning</t>
        </is>
      </c>
      <c r="D257" s="1" t="n">
        <v>45617</v>
      </c>
      <c r="E257" s="1" t="n">
        <v>46221</v>
      </c>
      <c r="F257" t="inlineStr">
        <is>
          <t>ÖREBRO LÄN</t>
        </is>
      </c>
      <c r="G257" t="inlineStr">
        <is>
          <t>NORA</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17344-2024</t>
        </is>
      </c>
      <c r="B258" t="inlineStr">
        <is>
          <t>avverkningsanmälan</t>
        </is>
      </c>
      <c r="C258" t="inlineStr">
        <is>
          <t>Föryngringsavverkning</t>
        </is>
      </c>
      <c r="D258" s="1" t="n">
        <v>45414</v>
      </c>
      <c r="E258" s="1" t="n">
        <v>46221</v>
      </c>
      <c r="F258" t="inlineStr">
        <is>
          <t>ÖREBRO LÄN</t>
        </is>
      </c>
      <c r="G258" t="inlineStr">
        <is>
          <t>NORA</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S 217-2024</t>
        </is>
      </c>
      <c r="B259" t="inlineStr">
        <is>
          <t>samrådsanmälan</t>
        </is>
      </c>
      <c r="C259" t="inlineStr">
        <is>
          <t>Skogsgödsling</t>
        </is>
      </c>
      <c r="D259" s="1" t="n">
        <v>45316</v>
      </c>
      <c r="E259" s="1" t="n">
        <v>46221</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s="2" t="inlineStr"/>
    </row>
    <row r="260" ht="15" customHeight="1">
      <c r="A260" t="inlineStr">
        <is>
          <t>S 7040-2022</t>
        </is>
      </c>
      <c r="B260" t="inlineStr">
        <is>
          <t>samrådsanmälan</t>
        </is>
      </c>
      <c r="C260" t="inlineStr">
        <is>
          <t>Annan skogsbruksåtgärd</t>
        </is>
      </c>
      <c r="D260" s="1" t="n">
        <v>44904</v>
      </c>
      <c r="E260" s="1" t="n">
        <v>46221</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S 1363-2025</t>
        </is>
      </c>
      <c r="B261" t="inlineStr">
        <is>
          <t>samrådsanmälan</t>
        </is>
      </c>
      <c r="C261" t="inlineStr">
        <is>
          <t>Annan skogsbruksåtgärd</t>
        </is>
      </c>
      <c r="D261" s="1" t="n">
        <v>45775</v>
      </c>
      <c r="E261" s="1" t="n">
        <v>46221</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S 2961-2025</t>
        </is>
      </c>
      <c r="B262" t="inlineStr">
        <is>
          <t>samrådsanmälan</t>
        </is>
      </c>
      <c r="C262" t="inlineStr">
        <is>
          <t>Annan skogsbruksåtgärd</t>
        </is>
      </c>
      <c r="D262" s="1" t="n">
        <v>45953</v>
      </c>
      <c r="E262" s="1" t="n">
        <v>46221</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s="2" t="inlineStr"/>
    </row>
    <row r="263">
      <c r="A263" t="inlineStr">
        <is>
          <t>S 656-2026</t>
        </is>
      </c>
      <c r="B263" t="inlineStr">
        <is>
          <t>samrådsanmälan</t>
        </is>
      </c>
      <c r="C263" t="inlineStr">
        <is>
          <t>Skogsgödsling</t>
        </is>
      </c>
      <c r="D263" s="1" t="n">
        <v>46089</v>
      </c>
      <c r="E263" s="1" t="n">
        <v>46221</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2026-07-18T01:23:23Z</dcterms:created>
  <dcterms:modified xmlns:dcterms="http://purl.org/dc/terms/" xmlns:xsi="http://www.w3.org/2001/XMLSchema-instance" xsi:type="dcterms:W3CDTF">2026-07-18T01:23:23Z</dcterms:modified>
</cp:coreProperties>
</file>